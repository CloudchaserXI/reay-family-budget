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86c7efd05d49fd/Vaab Coding/Budget Tool/"/>
    </mc:Choice>
  </mc:AlternateContent>
  <xr:revisionPtr revIDLastSave="0" documentId="8_{1C2EF026-1A22-4A74-B11D-E284E552885F}" xr6:coauthVersionLast="47" xr6:coauthVersionMax="47" xr10:uidLastSave="{00000000-0000-0000-0000-000000000000}"/>
  <bookViews>
    <workbookView xWindow="4520" yWindow="4520" windowWidth="28800" windowHeight="15370" xr2:uid="{00000000-000D-0000-FFFF-FFFF00000000}"/>
  </bookViews>
  <sheets>
    <sheet name="Dashboard" sheetId="6" r:id="rId1"/>
    <sheet name="Budget" sheetId="7" r:id="rId2"/>
    <sheet name="Goals" sheetId="4" r:id="rId3"/>
    <sheet name="Investments" sheetId="3" r:id="rId4"/>
    <sheet name="History" sheetId="8" r:id="rId5"/>
    <sheet name="South Africa" sheetId="5" state="hidden" r:id="rId6"/>
  </sheets>
  <definedNames>
    <definedName name="MonthList">History!$AZ$2:$AZ$25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8" l="1"/>
  <c r="E39" i="8"/>
  <c r="F38" i="8"/>
  <c r="E38" i="8"/>
  <c r="C9" i="6" s="1"/>
  <c r="H8" i="6" s="1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C6" i="6" s="1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H49" i="7" a="1"/>
  <c r="H49" i="7" s="1"/>
  <c r="I49" i="7" s="1"/>
  <c r="G49" i="7"/>
  <c r="H48" i="7" a="1"/>
  <c r="H48" i="7" s="1"/>
  <c r="I48" i="7" s="1"/>
  <c r="G48" i="7"/>
  <c r="H47" i="7" a="1"/>
  <c r="H47" i="7" s="1"/>
  <c r="I47" i="7" s="1"/>
  <c r="G47" i="7"/>
  <c r="H44" i="7" a="1"/>
  <c r="H44" i="7" s="1"/>
  <c r="I44" i="7" s="1"/>
  <c r="G44" i="7"/>
  <c r="H43" i="7" a="1"/>
  <c r="H43" i="7" s="1"/>
  <c r="I43" i="7" s="1"/>
  <c r="G43" i="7"/>
  <c r="H42" i="7" a="1"/>
  <c r="H42" i="7" s="1"/>
  <c r="I42" i="7" s="1"/>
  <c r="G42" i="7"/>
  <c r="H39" i="7" a="1"/>
  <c r="H39" i="7" s="1"/>
  <c r="I39" i="7" s="1"/>
  <c r="G39" i="7"/>
  <c r="H38" i="7" a="1"/>
  <c r="H38" i="7" s="1"/>
  <c r="I38" i="7" s="1"/>
  <c r="G38" i="7"/>
  <c r="H37" i="7" a="1"/>
  <c r="H37" i="7" s="1"/>
  <c r="I37" i="7" s="1"/>
  <c r="G37" i="7"/>
  <c r="H36" i="7" a="1"/>
  <c r="H36" i="7" s="1"/>
  <c r="I36" i="7" s="1"/>
  <c r="G36" i="7"/>
  <c r="H35" i="7" a="1"/>
  <c r="H35" i="7" s="1"/>
  <c r="I35" i="7" s="1"/>
  <c r="G35" i="7"/>
  <c r="H32" i="7" a="1"/>
  <c r="H32" i="7" s="1"/>
  <c r="I32" i="7" s="1"/>
  <c r="G32" i="7"/>
  <c r="H31" i="7" a="1"/>
  <c r="H31" i="7" s="1"/>
  <c r="I31" i="7" s="1"/>
  <c r="G31" i="7"/>
  <c r="H30" i="7" a="1"/>
  <c r="H30" i="7" s="1"/>
  <c r="I30" i="7" s="1"/>
  <c r="G30" i="7"/>
  <c r="H29" i="7" a="1"/>
  <c r="H29" i="7" s="1"/>
  <c r="I29" i="7" s="1"/>
  <c r="G29" i="7"/>
  <c r="H28" i="7" a="1"/>
  <c r="H28" i="7" s="1"/>
  <c r="I28" i="7" s="1"/>
  <c r="G28" i="7"/>
  <c r="H27" i="7" a="1"/>
  <c r="H27" i="7" s="1"/>
  <c r="I27" i="7" s="1"/>
  <c r="G27" i="7"/>
  <c r="H26" i="7" a="1"/>
  <c r="H26" i="7" s="1"/>
  <c r="I26" i="7" s="1"/>
  <c r="G26" i="7"/>
  <c r="H25" i="7" a="1"/>
  <c r="H25" i="7" s="1"/>
  <c r="I25" i="7" s="1"/>
  <c r="G25" i="7"/>
  <c r="H24" i="7" a="1"/>
  <c r="H24" i="7" s="1"/>
  <c r="I24" i="7" s="1"/>
  <c r="G24" i="7"/>
  <c r="H23" i="7" a="1"/>
  <c r="H23" i="7" s="1"/>
  <c r="I23" i="7" s="1"/>
  <c r="G23" i="7"/>
  <c r="H22" i="7" a="1"/>
  <c r="H22" i="7" s="1"/>
  <c r="I22" i="7" s="1"/>
  <c r="G22" i="7"/>
  <c r="H21" i="7" a="1"/>
  <c r="H21" i="7" s="1"/>
  <c r="I21" i="7" s="1"/>
  <c r="G21" i="7"/>
  <c r="H20" i="7" a="1"/>
  <c r="H20" i="7" s="1"/>
  <c r="I20" i="7" s="1"/>
  <c r="G20" i="7"/>
  <c r="H19" i="7" a="1"/>
  <c r="H19" i="7" s="1"/>
  <c r="I19" i="7" s="1"/>
  <c r="G19" i="7"/>
  <c r="H18" i="7" a="1"/>
  <c r="H18" i="7" s="1"/>
  <c r="I18" i="7" s="1"/>
  <c r="G18" i="7"/>
  <c r="H17" i="7" a="1"/>
  <c r="H17" i="7" s="1"/>
  <c r="I17" i="7" s="1"/>
  <c r="G17" i="7"/>
  <c r="H16" i="7" a="1"/>
  <c r="H16" i="7" s="1"/>
  <c r="I16" i="7" s="1"/>
  <c r="G16" i="7"/>
  <c r="H15" i="7" a="1"/>
  <c r="H15" i="7" s="1"/>
  <c r="I15" i="7" s="1"/>
  <c r="G15" i="7"/>
  <c r="H14" i="7" a="1"/>
  <c r="H14" i="7" s="1"/>
  <c r="I14" i="7" s="1"/>
  <c r="G14" i="7"/>
  <c r="H13" i="7" a="1"/>
  <c r="H13" i="7" s="1"/>
  <c r="I13" i="7" s="1"/>
  <c r="G13" i="7"/>
  <c r="H12" i="7" a="1"/>
  <c r="H12" i="7" s="1"/>
  <c r="I12" i="7" s="1"/>
  <c r="G12" i="7"/>
  <c r="H11" i="7" a="1"/>
  <c r="H11" i="7" s="1"/>
  <c r="I11" i="7" s="1"/>
  <c r="G11" i="7"/>
  <c r="H7" i="7" a="1"/>
  <c r="H7" i="7" s="1"/>
  <c r="I7" i="7" s="1"/>
  <c r="G7" i="7"/>
  <c r="H6" i="7" a="1"/>
  <c r="H6" i="7" s="1"/>
  <c r="I6" i="7" s="1"/>
  <c r="G6" i="7"/>
  <c r="H5" i="7" a="1"/>
  <c r="H5" i="7" s="1"/>
  <c r="I5" i="7" s="1"/>
  <c r="G5" i="7"/>
  <c r="D9" i="6"/>
  <c r="I8" i="6" s="1"/>
  <c r="D8" i="6"/>
  <c r="I7" i="6" s="1"/>
  <c r="C8" i="6"/>
  <c r="D7" i="6"/>
  <c r="I6" i="6" s="1"/>
  <c r="C7" i="6"/>
  <c r="H6" i="6" s="1"/>
  <c r="D6" i="6"/>
  <c r="D5" i="6"/>
  <c r="C5" i="6"/>
  <c r="A2" i="6"/>
  <c r="AZ3" i="8" a="1"/>
  <c r="AZ3" i="8" s="1"/>
  <c r="AZ4" i="8" a="1"/>
  <c r="AZ4" i="8"/>
  <c r="AZ5" i="8" a="1"/>
  <c r="AZ5" i="8" s="1"/>
  <c r="AZ6" i="8" a="1"/>
  <c r="AZ6" i="8"/>
  <c r="AZ7" i="8" a="1"/>
  <c r="AZ7" i="8" s="1"/>
  <c r="AZ8" i="8" a="1"/>
  <c r="AZ8" i="8" s="1"/>
  <c r="AZ9" i="8" a="1"/>
  <c r="AZ9" i="8" s="1"/>
  <c r="AZ10" i="8" a="1"/>
  <c r="AZ10" i="8" s="1"/>
  <c r="AZ11" i="8" a="1"/>
  <c r="AZ11" i="8"/>
  <c r="AZ12" i="8" a="1"/>
  <c r="AZ12" i="8"/>
  <c r="AZ13" i="8" a="1"/>
  <c r="AZ13" i="8" s="1"/>
  <c r="AZ14" i="8" a="1"/>
  <c r="AZ14" i="8" s="1"/>
  <c r="AZ15" i="8" a="1"/>
  <c r="AZ15" i="8"/>
  <c r="AZ16" i="8" a="1"/>
  <c r="AZ16" i="8"/>
  <c r="AZ17" i="8" a="1"/>
  <c r="AZ17" i="8" s="1"/>
  <c r="AZ18" i="8" a="1"/>
  <c r="AZ18" i="8" s="1"/>
  <c r="AZ19" i="8" a="1"/>
  <c r="AZ19" i="8"/>
  <c r="AZ20" i="8" a="1"/>
  <c r="AZ20" i="8"/>
  <c r="AZ21" i="8" a="1"/>
  <c r="AZ21" i="8" s="1"/>
  <c r="AZ22" i="8" a="1"/>
  <c r="AZ22" i="8"/>
  <c r="AZ23" i="8" a="1"/>
  <c r="AZ23" i="8" s="1"/>
  <c r="AZ24" i="8" a="1"/>
  <c r="AZ24" i="8" s="1"/>
  <c r="AZ25" i="8" a="1"/>
  <c r="AZ25" i="8"/>
  <c r="AZ2" i="8" a="1"/>
  <c r="AZ2" i="8" s="1"/>
  <c r="B20" i="3"/>
  <c r="B19" i="3"/>
  <c r="B16" i="3"/>
  <c r="B15" i="3"/>
  <c r="B14" i="3"/>
  <c r="B7" i="3"/>
  <c r="B6" i="3"/>
  <c r="B5" i="3"/>
  <c r="B4" i="3"/>
  <c r="E7" i="4"/>
  <c r="D7" i="4"/>
  <c r="E6" i="4"/>
  <c r="D6" i="4"/>
  <c r="E5" i="4"/>
  <c r="D5" i="4"/>
  <c r="B10" i="4"/>
  <c r="C8" i="4"/>
  <c r="B8" i="4"/>
  <c r="E4" i="4"/>
  <c r="D4" i="4"/>
  <c r="D49" i="7"/>
  <c r="D48" i="7"/>
  <c r="D47" i="7"/>
  <c r="D44" i="7"/>
  <c r="D43" i="7"/>
  <c r="D42" i="7"/>
  <c r="D39" i="7"/>
  <c r="D38" i="7"/>
  <c r="D37" i="7"/>
  <c r="D36" i="7"/>
  <c r="D35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7" i="7"/>
  <c r="D6" i="7"/>
  <c r="D5" i="7"/>
  <c r="D15" i="5"/>
  <c r="C15" i="5"/>
  <c r="B15" i="5"/>
  <c r="D13" i="5"/>
  <c r="D12" i="5"/>
  <c r="D11" i="5"/>
  <c r="D10" i="5"/>
  <c r="D9" i="5"/>
  <c r="D8" i="5"/>
  <c r="D7" i="5"/>
  <c r="D6" i="5"/>
  <c r="D5" i="5"/>
  <c r="D4" i="5"/>
  <c r="D53" i="7"/>
  <c r="C53" i="7"/>
  <c r="F52" i="7"/>
  <c r="E52" i="7"/>
  <c r="D52" i="7"/>
  <c r="C52" i="7"/>
  <c r="F50" i="7"/>
  <c r="E50" i="7"/>
  <c r="D50" i="7"/>
  <c r="C50" i="7"/>
  <c r="F45" i="7"/>
  <c r="E45" i="7"/>
  <c r="D45" i="7"/>
  <c r="C45" i="7"/>
  <c r="F40" i="7"/>
  <c r="E40" i="7"/>
  <c r="D40" i="7"/>
  <c r="C40" i="7"/>
  <c r="F33" i="7"/>
  <c r="E33" i="7"/>
  <c r="D33" i="7"/>
  <c r="C33" i="7"/>
  <c r="F49" i="7"/>
  <c r="E49" i="7"/>
  <c r="F48" i="7"/>
  <c r="E48" i="7"/>
  <c r="F47" i="7"/>
  <c r="E47" i="7"/>
  <c r="F44" i="7"/>
  <c r="E44" i="7"/>
  <c r="F43" i="7"/>
  <c r="E43" i="7"/>
  <c r="F42" i="7"/>
  <c r="E42" i="7"/>
  <c r="F39" i="7"/>
  <c r="E39" i="7"/>
  <c r="F38" i="7"/>
  <c r="E38" i="7"/>
  <c r="F37" i="7"/>
  <c r="E37" i="7"/>
  <c r="F36" i="7"/>
  <c r="E36" i="7"/>
  <c r="F35" i="7"/>
  <c r="E35" i="7"/>
  <c r="E32" i="7"/>
  <c r="F32" i="7"/>
  <c r="F31" i="7"/>
  <c r="F30" i="7"/>
  <c r="F29" i="7"/>
  <c r="F28" i="7"/>
  <c r="F27" i="7"/>
  <c r="F26" i="7"/>
  <c r="F25" i="7"/>
  <c r="F24" i="7"/>
  <c r="F23" i="7"/>
  <c r="E22" i="7"/>
  <c r="F21" i="7"/>
  <c r="F20" i="7"/>
  <c r="E19" i="7"/>
  <c r="F18" i="7"/>
  <c r="F17" i="7"/>
  <c r="E16" i="7"/>
  <c r="F15" i="7"/>
  <c r="F14" i="7"/>
  <c r="F13" i="7"/>
  <c r="F12" i="7"/>
  <c r="F11" i="7"/>
  <c r="E8" i="7"/>
  <c r="D8" i="7"/>
  <c r="C8" i="7"/>
  <c r="F7" i="7"/>
  <c r="E7" i="7"/>
  <c r="F6" i="7"/>
  <c r="E6" i="7"/>
  <c r="F5" i="7"/>
  <c r="E5" i="7"/>
  <c r="D10" i="6" l="1"/>
  <c r="D11" i="6" s="1"/>
  <c r="C16" i="6" s="1"/>
  <c r="E8" i="6"/>
  <c r="C10" i="6"/>
  <c r="E5" i="6"/>
  <c r="C15" i="6"/>
  <c r="E6" i="6"/>
  <c r="E7" i="6"/>
  <c r="C14" i="6"/>
  <c r="H5" i="6"/>
  <c r="H7" i="6"/>
  <c r="E9" i="6"/>
  <c r="I5" i="6"/>
  <c r="D8" i="4"/>
  <c r="B11" i="4" s="1"/>
  <c r="B12" i="4" s="1"/>
  <c r="E8" i="4"/>
  <c r="E26" i="7"/>
  <c r="F19" i="7"/>
  <c r="E20" i="7"/>
  <c r="E27" i="7"/>
  <c r="E21" i="7"/>
  <c r="E15" i="7"/>
  <c r="F22" i="7"/>
  <c r="F16" i="7"/>
  <c r="E30" i="7"/>
  <c r="E24" i="7"/>
  <c r="E13" i="7"/>
  <c r="E14" i="7"/>
  <c r="E28" i="7"/>
  <c r="E29" i="7"/>
  <c r="E23" i="7"/>
  <c r="E17" i="7"/>
  <c r="E11" i="7"/>
  <c r="E31" i="7"/>
  <c r="E18" i="7"/>
  <c r="E25" i="7"/>
  <c r="E12" i="7"/>
  <c r="E10" i="6" l="1"/>
  <c r="C11" i="6"/>
  <c r="C1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<sst xmlns="http://schemas.openxmlformats.org/spreadsheetml/2006/main" count="257" uniqueCount="130">
  <si>
    <t>Mortgage</t>
  </si>
  <si>
    <t>EE</t>
  </si>
  <si>
    <t>TV License</t>
  </si>
  <si>
    <t>Alz donation</t>
  </si>
  <si>
    <t>Council Tax</t>
  </si>
  <si>
    <t>Water</t>
  </si>
  <si>
    <t>Prime</t>
  </si>
  <si>
    <t>Tech Pack</t>
  </si>
  <si>
    <t>Leia Food</t>
  </si>
  <si>
    <t>Leia Groom</t>
  </si>
  <si>
    <t>Total</t>
  </si>
  <si>
    <t>Food</t>
  </si>
  <si>
    <t>Petrol</t>
  </si>
  <si>
    <t>Cleaner</t>
  </si>
  <si>
    <t>Travel</t>
  </si>
  <si>
    <t>Sky mobile</t>
  </si>
  <si>
    <t>Spotify</t>
  </si>
  <si>
    <t>Savings</t>
  </si>
  <si>
    <t>Kitchen</t>
  </si>
  <si>
    <t>South Africa Trip</t>
  </si>
  <si>
    <t>Activity</t>
  </si>
  <si>
    <t>Flights</t>
  </si>
  <si>
    <t>CT Car</t>
  </si>
  <si>
    <t>Jz to CT</t>
  </si>
  <si>
    <t>Amakhosi</t>
  </si>
  <si>
    <t>Sandals</t>
  </si>
  <si>
    <t>Energy</t>
  </si>
  <si>
    <t>Internet</t>
  </si>
  <si>
    <t>Cars</t>
  </si>
  <si>
    <t>Sport</t>
  </si>
  <si>
    <t>Nursery</t>
  </si>
  <si>
    <t>Vet Success</t>
  </si>
  <si>
    <t>Happy tiddlers</t>
  </si>
  <si>
    <t>Monthly Budget</t>
  </si>
  <si>
    <t>Category</t>
  </si>
  <si>
    <t>Group</t>
  </si>
  <si>
    <t>Budget</t>
  </si>
  <si>
    <t>Actual</t>
  </si>
  <si>
    <t>Variance</t>
  </si>
  <si>
    <t>% Used</t>
  </si>
  <si>
    <t>INCOME</t>
  </si>
  <si>
    <t>Salary 1</t>
  </si>
  <si>
    <t>Income</t>
  </si>
  <si>
    <t>Salary 2</t>
  </si>
  <si>
    <t>Other Income</t>
  </si>
  <si>
    <t>Total Income</t>
  </si>
  <si>
    <t>FIXED EXPENSES</t>
  </si>
  <si>
    <t>Fixed</t>
  </si>
  <si>
    <t>Home insurance</t>
  </si>
  <si>
    <t>Car parking</t>
  </si>
  <si>
    <t>Pet Insurance</t>
  </si>
  <si>
    <t>Life insurance</t>
  </si>
  <si>
    <t>VARIABLE EXPENSES</t>
  </si>
  <si>
    <t>Variable</t>
  </si>
  <si>
    <t>Doggy day care</t>
  </si>
  <si>
    <t>PETS</t>
  </si>
  <si>
    <t>Pets</t>
  </si>
  <si>
    <t>Charlie Hair</t>
  </si>
  <si>
    <t>SAVINGS &amp; GOALS</t>
  </si>
  <si>
    <t>Savings transfer</t>
  </si>
  <si>
    <t>Investments</t>
  </si>
  <si>
    <t>Total Fixed</t>
  </si>
  <si>
    <t>Total Variable</t>
  </si>
  <si>
    <t>Total Pets</t>
  </si>
  <si>
    <t>Total Savings</t>
  </si>
  <si>
    <t>TOTAL OUTGOINGS</t>
  </si>
  <si>
    <t>LEFT TO ALLOCATE</t>
  </si>
  <si>
    <t>Reporting month:</t>
  </si>
  <si>
    <t>Monthly Budget Dashboard</t>
  </si>
  <si>
    <t>This month</t>
  </si>
  <si>
    <t>Fixed Expenses</t>
  </si>
  <si>
    <t>Variable Expenses</t>
  </si>
  <si>
    <t>Savings &amp; Goals</t>
  </si>
  <si>
    <t>Total Outgoings</t>
  </si>
  <si>
    <t>Left to Allocate</t>
  </si>
  <si>
    <t>Nov 2025</t>
  </si>
  <si>
    <t>Key Ratios</t>
  </si>
  <si>
    <t>Savings rate</t>
  </si>
  <si>
    <t>Fixed cost ratio</t>
  </si>
  <si>
    <t>Disposable % of income</t>
  </si>
  <si>
    <t>Budget variance (under/(over))</t>
  </si>
  <si>
    <t>How to use</t>
  </si>
  <si>
    <t>Savings Goals</t>
  </si>
  <si>
    <t>Goal</t>
  </si>
  <si>
    <t>Target (£)</t>
  </si>
  <si>
    <t>Saved (£)</t>
  </si>
  <si>
    <t>Remaining</t>
  </si>
  <si>
    <t>% Funded</t>
  </si>
  <si>
    <t>Monthly allocation (from Budget)</t>
  </si>
  <si>
    <t>Remaining to fund (all goals)</t>
  </si>
  <si>
    <t>Months to fully fund at current pace</t>
  </si>
  <si>
    <t>Item</t>
  </si>
  <si>
    <t>Cost (£)</t>
  </si>
  <si>
    <t>Paid (£)</t>
  </si>
  <si>
    <t>Unpaid (£)</t>
  </si>
  <si>
    <t>CT Accommodation</t>
  </si>
  <si>
    <t>CT to Durban</t>
  </si>
  <si>
    <t>Durban Hire</t>
  </si>
  <si>
    <t>Spending money</t>
  </si>
  <si>
    <t>Investments &amp; Savings Pot</t>
  </si>
  <si>
    <t>Balance (£)</t>
  </si>
  <si>
    <t>Total pot</t>
  </si>
  <si>
    <t>Less: committed to goals</t>
  </si>
  <si>
    <t>Uncommitted buffer</t>
  </si>
  <si>
    <t>May 2026</t>
  </si>
  <si>
    <t>Monthly allocations (from Budget)</t>
  </si>
  <si>
    <t>Goals funding</t>
  </si>
  <si>
    <t>Investments contribution</t>
  </si>
  <si>
    <t>Total monthly savings</t>
  </si>
  <si>
    <t>Account balances</t>
  </si>
  <si>
    <t>Projection</t>
  </si>
  <si>
    <t>Pot + 12 months at current pace</t>
  </si>
  <si>
    <t>Pot + 6 months at current pace</t>
  </si>
  <si>
    <t xml:space="preserve">Goals funding </t>
  </si>
  <si>
    <t>Historical Monthly Archive</t>
  </si>
  <si>
    <t>Each month pair (Budget | Actual) is a snapshot. Use the 'Save to history' workflow on the Budget sheet to add a new month.</t>
  </si>
  <si>
    <t>Month List (helper)</t>
  </si>
  <si>
    <t>Viewing month:</t>
  </si>
  <si>
    <t>Compare to:</t>
  </si>
  <si>
    <t>Hist Budget</t>
  </si>
  <si>
    <t>Hist Actual</t>
  </si>
  <si>
    <t>Δ vs current</t>
  </si>
  <si>
    <t>Live / Saved</t>
  </si>
  <si>
    <t>Purple italic = live formulas pulling from Budget sheet. To lock a month in: select the month pair, copy, paste-special as values.</t>
  </si>
  <si>
    <t>1. Pick any month from the dropdown in F1 to view its data.</t>
  </si>
  <si>
    <t>2. Current month (May 2026) on the Budget sheet: edit blue cells for budget, type Actuals in column D.</t>
  </si>
  <si>
    <t>3. On Budget, use the "Compare to" dropdown in H1 to see any past month alongside current.</t>
  </si>
  <si>
    <t>4. The History tab stores every month as a column pair (Budget | Actual). Nov 2025 is seeded.</t>
  </si>
  <si>
    <t>5. To archive a new month: on History, select the live May 2026 pair (E4:F39), copy, right-click → Paste Values. Rename header and add a fresh month pair to the right.</t>
  </si>
  <si>
    <t>View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</si>
</sst>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;[Red]\(\£#,##0\);\-"/>
    <numFmt numFmtId="165" formatCode="0.0%"/>
    <numFmt numFmtId="166" formatCode="\£#,##0.00;[Red]\(\£#,##0.00\);\-"/>
    <numFmt numFmtId="167" formatCode="\£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8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A6A6A6"/>
      <name val="Calibri"/>
      <family val="2"/>
      <scheme val="minor"/>
    </font>
    <font>
      <i/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1" fillId="3" borderId="0" xfId="0" applyFont="1" applyFill="1"/>
    <xf numFmtId="0" fontId="0" fillId="3" borderId="0" xfId="0" applyFill="1"/>
    <xf numFmtId="0" fontId="4" fillId="0" borderId="0" xfId="0" applyFont="1"/>
    <xf numFmtId="164" fontId="4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164" fontId="1" fillId="4" borderId="0" xfId="0" applyNumberFormat="1" applyFont="1" applyFill="1"/>
    <xf numFmtId="164" fontId="1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64" fontId="5" fillId="4" borderId="0" xfId="0" applyNumberFormat="1" applyFont="1" applyFill="1"/>
    <xf numFmtId="165" fontId="1" fillId="0" borderId="0" xfId="0" applyNumberFormat="1" applyFont="1"/>
    <xf numFmtId="165" fontId="1" fillId="4" borderId="0" xfId="0" applyNumberFormat="1" applyFont="1" applyFill="1"/>
    <xf numFmtId="0" fontId="0" fillId="2" borderId="0" xfId="0" applyFill="1"/>
    <xf numFmtId="164" fontId="3" fillId="2" borderId="0" xfId="0" applyNumberFormat="1" applyFont="1" applyFill="1"/>
    <xf numFmtId="165" fontId="3" fillId="2" borderId="0" xfId="0" applyNumberFormat="1" applyFont="1" applyFill="1"/>
    <xf numFmtId="0" fontId="1" fillId="5" borderId="0" xfId="0" applyFont="1" applyFill="1"/>
    <xf numFmtId="0" fontId="0" fillId="5" borderId="0" xfId="0" applyFill="1"/>
    <xf numFmtId="164" fontId="1" fillId="5" borderId="0" xfId="0" applyNumberFormat="1" applyFont="1" applyFill="1"/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49" fontId="1" fillId="6" borderId="0" xfId="0" applyNumberFormat="1" applyFont="1" applyFill="1"/>
    <xf numFmtId="167" fontId="0" fillId="0" borderId="0" xfId="0" applyNumberFormat="1"/>
    <xf numFmtId="0" fontId="0" fillId="6" borderId="0" xfId="0" applyFill="1"/>
    <xf numFmtId="0" fontId="9" fillId="0" borderId="0" xfId="0" applyFont="1"/>
    <xf numFmtId="164" fontId="9" fillId="0" borderId="0" xfId="0" applyNumberFormat="1" applyFont="1"/>
    <xf numFmtId="0" fontId="0" fillId="0" borderId="0" xfId="0"/>
    <xf numFmtId="0" fontId="0" fillId="7" borderId="0" xfId="0" applyFill="1"/>
    <xf numFmtId="0" fontId="0" fillId="8" borderId="0" xfId="0" applyFill="1"/>
    <xf numFmtId="0" fontId="0" fillId="9" borderId="0" xfId="0" applyFill="1"/>
    <xf numFmtId="0" fontId="10" fillId="0" borderId="0" xfId="0" applyFont="1"/>
    <xf numFmtId="49" fontId="1" fillId="3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1" fillId="8" borderId="0" xfId="0" applyNumberFormat="1" applyFont="1" applyFill="1"/>
    <xf numFmtId="164" fontId="11" fillId="0" borderId="0" xfId="0" applyNumberFormat="1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18"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Actual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Dashboard!$H$5:$H$8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Dashboard!$G$5:$G$8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6D5-4428-9454-9FA8770EFE2D}"/>
            </c:ext>
          </c:extLst>
        </c:ser>
        <c:ser>
          <c:idx val="1"/>
          <c:order val="1"/>
          <c:tx>
            <c:strRef>
              <c:f>Dashboard!$I$4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Dashboard!$I$5:$I$8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Dashboard!$G$5:$G$8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6D5-4428-9454-9FA8770EF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80015"/>
        <c:axId val="77877135"/>
      </c:barChart>
      <c:catAx>
        <c:axId val="7788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7135"/>
        <c:crosses val="autoZero"/>
        <c:auto val="1"/>
        <c:lblAlgn val="ctr"/>
        <c:lblOffset val="100"/>
        <c:noMultiLvlLbl val="0"/>
      </c:catAx>
      <c:valAx>
        <c:axId val="778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BB2E2-CF66-2601-3A55-C4775DB1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414818-6AAA-4487-B6B2-776BDEACBEF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957ab0b-2e99-4000-80ef-eaecd5877b7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AD3-9718-4508-BED6-1C7E4C68D3F8}">
  <dimension ref="A1:I24"/>
  <sheetViews>
    <sheetView tabSelected="1" workbookViewId="0">
      <selection activeCell="C16" sqref="C16"/>
    </sheetView>
  </sheetViews>
  <sheetFormatPr defaultRowHeight="14.5" x14ac:dyDescent="0.35"/>
  <cols>
    <col min="1" max="1" width="40" customWidth="1"/>
    <col min="2" max="2" width="3.6328125" customWidth="1"/>
    <col min="3" max="5" width="18.1796875" customWidth="1"/>
    <col min="7" max="9" width="8.7265625" hidden="1" customWidth="1"/>
  </cols>
  <sheetData>
    <row r="1" spans="1:9" ht="23.5" x14ac:dyDescent="0.55000000000000004">
      <c r="A1" s="28" t="s">
        <v>68</v>
      </c>
      <c r="E1" s="27" t="s">
        <v>117</v>
      </c>
      <c r="F1" s="31" t="s">
        <v>104</v>
      </c>
    </row>
    <row r="2" spans="1:9" x14ac:dyDescent="0.35">
      <c r="A2" s="29" t="str">
        <f>"Showing: "&amp;F1</f>
        <v>Showing: May 2026</v>
      </c>
    </row>
    <row r="4" spans="1:9" ht="15.5" x14ac:dyDescent="0.35">
      <c r="A4" s="30" t="s">
        <v>69</v>
      </c>
      <c r="B4" s="21"/>
      <c r="C4" s="5" t="s">
        <v>36</v>
      </c>
      <c r="D4" s="5" t="s">
        <v>37</v>
      </c>
      <c r="E4" s="5" t="s">
        <v>38</v>
      </c>
      <c r="G4" s="1" t="s">
        <v>34</v>
      </c>
      <c r="H4" s="1" t="s">
        <v>36</v>
      </c>
      <c r="I4" s="1" t="s">
        <v>37</v>
      </c>
    </row>
    <row r="5" spans="1:9" x14ac:dyDescent="0.35">
      <c r="A5" t="s">
        <v>45</v>
      </c>
      <c r="C5" s="10">
        <f>SUMIFS(INDEX(History!$C$4:$AY$39,0,MATCH($F$1,History!$C$2:$AY$2,0)),History!$B$4:$B$39,"Income")</f>
        <v>8550</v>
      </c>
      <c r="D5" s="10">
        <f>SUMIFS(INDEX(History!$C$4:$AY$39,0,MATCH($F$1,History!$C$2:$AY$2,0)+1),History!$B$4:$B$39,"Income")</f>
        <v>8550</v>
      </c>
      <c r="E5" s="10">
        <f>D5-C5</f>
        <v>0</v>
      </c>
      <c r="G5" t="s">
        <v>47</v>
      </c>
      <c r="H5" s="32">
        <f>C6</f>
        <v>5520.1299999999992</v>
      </c>
      <c r="I5" s="32">
        <f>D6</f>
        <v>5520.1299999999992</v>
      </c>
    </row>
    <row r="6" spans="1:9" x14ac:dyDescent="0.35">
      <c r="A6" t="s">
        <v>70</v>
      </c>
      <c r="C6" s="10">
        <f>SUMIFS(INDEX(History!$C$4:$AY$39,0,MATCH($F$1,History!$C$2:$AY$2,0)),History!$B$4:$B$39,"Fixed")</f>
        <v>5520.1299999999992</v>
      </c>
      <c r="D6" s="10">
        <f>SUMIFS(INDEX(History!$C$4:$AY$39,0,MATCH($F$1,History!$C$2:$AY$2,0)+1),History!$B$4:$B$39,"Fixed")</f>
        <v>5520.1299999999992</v>
      </c>
      <c r="E6" s="10">
        <f>C6-D6</f>
        <v>0</v>
      </c>
      <c r="G6" t="s">
        <v>53</v>
      </c>
      <c r="H6" s="32">
        <f>C7</f>
        <v>1470</v>
      </c>
      <c r="I6" s="32">
        <f>D7</f>
        <v>1470</v>
      </c>
    </row>
    <row r="7" spans="1:9" x14ac:dyDescent="0.35">
      <c r="A7" t="s">
        <v>71</v>
      </c>
      <c r="C7" s="10">
        <f>SUMIFS(INDEX(History!$C$4:$AY$39,0,MATCH($F$1,History!$C$2:$AY$2,0)),History!$B$4:$B$39,"Variable")</f>
        <v>1470</v>
      </c>
      <c r="D7" s="10">
        <f>SUMIFS(INDEX(History!$C$4:$AY$39,0,MATCH($F$1,History!$C$2:$AY$2,0)+1),History!$B$4:$B$39,"Variable")</f>
        <v>1470</v>
      </c>
      <c r="E7" s="10">
        <f>C7-D7</f>
        <v>0</v>
      </c>
      <c r="G7" t="s">
        <v>56</v>
      </c>
      <c r="H7" s="32">
        <f>C8</f>
        <v>260.8</v>
      </c>
      <c r="I7" s="32">
        <f>D8</f>
        <v>260.8</v>
      </c>
    </row>
    <row r="8" spans="1:9" x14ac:dyDescent="0.35">
      <c r="A8" t="s">
        <v>56</v>
      </c>
      <c r="C8" s="10">
        <f>SUMIFS(INDEX(History!$C$4:$AY$39,0,MATCH($F$1,History!$C$2:$AY$2,0)),History!$B$4:$B$39,"Pets")</f>
        <v>260.8</v>
      </c>
      <c r="D8" s="10">
        <f>SUMIFS(INDEX(History!$C$4:$AY$39,0,MATCH($F$1,History!$C$2:$AY$2,0)+1),History!$B$4:$B$39,"Pets")</f>
        <v>260.8</v>
      </c>
      <c r="E8" s="10">
        <f>C8-D8</f>
        <v>0</v>
      </c>
      <c r="G8" t="s">
        <v>17</v>
      </c>
      <c r="H8" s="32">
        <f>C9</f>
        <v>1200</v>
      </c>
      <c r="I8" s="32">
        <f>D9</f>
        <v>1200</v>
      </c>
    </row>
    <row r="9" spans="1:9" x14ac:dyDescent="0.35">
      <c r="A9" t="s">
        <v>72</v>
      </c>
      <c r="C9" s="10">
        <f>SUMIFS(INDEX(History!$C$4:$AY$39,0,MATCH($F$1,History!$C$2:$AY$2,0)),History!$B$4:$B$39,"Savings")</f>
        <v>1200</v>
      </c>
      <c r="D9" s="10">
        <f>SUMIFS(INDEX(History!$C$4:$AY$39,0,MATCH($F$1,History!$C$2:$AY$2,0)+1),History!$B$4:$B$39,"Savings")</f>
        <v>1200</v>
      </c>
      <c r="E9" s="10">
        <f>C9-D9</f>
        <v>0</v>
      </c>
    </row>
    <row r="10" spans="1:9" x14ac:dyDescent="0.35">
      <c r="A10" s="12" t="s">
        <v>73</v>
      </c>
      <c r="C10" s="14">
        <f>C6+C7+C8+C9</f>
        <v>8450.93</v>
      </c>
      <c r="D10" s="14">
        <f>D6+D7+D8+D9</f>
        <v>8450.93</v>
      </c>
      <c r="E10" s="14">
        <f>C10-D10</f>
        <v>0</v>
      </c>
    </row>
    <row r="11" spans="1:9" x14ac:dyDescent="0.35">
      <c r="A11" s="24" t="s">
        <v>74</v>
      </c>
      <c r="C11" s="26">
        <f>C5-C10</f>
        <v>99.069999999999709</v>
      </c>
      <c r="D11" s="26">
        <f>D5-D10</f>
        <v>99.069999999999709</v>
      </c>
      <c r="E11" s="25"/>
    </row>
    <row r="13" spans="1:9" ht="15.5" x14ac:dyDescent="0.35">
      <c r="A13" s="30" t="s">
        <v>76</v>
      </c>
      <c r="B13" s="21"/>
      <c r="C13" s="21"/>
    </row>
    <row r="14" spans="1:9" x14ac:dyDescent="0.35">
      <c r="A14" t="s">
        <v>77</v>
      </c>
      <c r="C14" s="19">
        <f>IF(D5=0,0,D9/D5)</f>
        <v>0.14035087719298245</v>
      </c>
    </row>
    <row r="15" spans="1:9" x14ac:dyDescent="0.35">
      <c r="A15" t="s">
        <v>78</v>
      </c>
      <c r="C15" s="19">
        <f>IF(D5=0,0,D6/D5)</f>
        <v>0.64562923976608178</v>
      </c>
    </row>
    <row r="16" spans="1:9" x14ac:dyDescent="0.35">
      <c r="A16" t="s">
        <v>79</v>
      </c>
      <c r="C16" s="19">
        <f>IF(D5=0,0,D11/D5)</f>
        <v>1.1587134502923943E-2</v>
      </c>
    </row>
    <row r="17" spans="1:3" x14ac:dyDescent="0.35">
      <c r="A17" t="s">
        <v>80</v>
      </c>
      <c r="C17" s="15">
        <f>C10-D10</f>
        <v>0</v>
      </c>
    </row>
    <row r="19" spans="1:3" ht="15.5" x14ac:dyDescent="0.35">
      <c r="A19" s="30" t="s">
        <v>81</v>
      </c>
      <c r="B19" s="21"/>
    </row>
    <row r="20" spans="1:3" x14ac:dyDescent="0.35">
      <c r="A20" t="s">
        <v>124</v>
      </c>
    </row>
    <row r="21" spans="1:3" x14ac:dyDescent="0.35">
      <c r="A21" t="s">
        <v>125</v>
      </c>
    </row>
    <row r="22" spans="1:3" x14ac:dyDescent="0.35">
      <c r="A22" t="s">
        <v>126</v>
      </c>
    </row>
    <row r="23" spans="1:3" x14ac:dyDescent="0.35">
      <c r="A23" t="s">
        <v>127</v>
      </c>
    </row>
    <row r="24" spans="1:3" x14ac:dyDescent="0.35">
      <c r="A24" t="s">
        <v>128</v>
      </c>
    </row>
  </sheetData>
  <dataValidations count="1">
    <dataValidation type="list" allowBlank="1" showInputMessage="1" showErrorMessage="1" errorTitle="Invalid month" error="Pick a month from the list." sqref="F1" xr:uid="{738791DB-9D62-4648-8661-FB79534CD677}">
      <formula1>MonthList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2286-62C0-48D9-A3F1-89A634549E6B}">
  <dimension ref="A1:I53"/>
  <sheetViews>
    <sheetView workbookViewId="0">
      <pane ySplit="3" topLeftCell="A4" activePane="bottomLeft" state="frozen"/>
      <selection pane="bottomLeft" activeCell="H1" sqref="H1"/>
    </sheetView>
  </sheetViews>
  <sheetFormatPr defaultRowHeight="14.5" x14ac:dyDescent="0.35"/>
  <cols>
    <col min="1" max="1" width="30.90625" customWidth="1"/>
    <col min="2" max="2" width="15.453125" customWidth="1"/>
    <col min="3" max="9" width="18.1796875" customWidth="1"/>
  </cols>
  <sheetData>
    <row r="1" spans="1:9" ht="21" x14ac:dyDescent="0.5">
      <c r="A1" s="2" t="s">
        <v>33</v>
      </c>
      <c r="E1" s="27" t="s">
        <v>67</v>
      </c>
      <c r="F1" s="31" t="s">
        <v>104</v>
      </c>
      <c r="G1" s="27" t="s">
        <v>118</v>
      </c>
      <c r="H1" s="43" t="s">
        <v>75</v>
      </c>
    </row>
    <row r="3" spans="1:9" x14ac:dyDescent="0.35">
      <c r="A3" s="4" t="s">
        <v>34</v>
      </c>
      <c r="B3" s="4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119</v>
      </c>
      <c r="H3" s="5" t="s">
        <v>120</v>
      </c>
      <c r="I3" s="5" t="s">
        <v>121</v>
      </c>
    </row>
    <row r="4" spans="1:9" x14ac:dyDescent="0.35">
      <c r="A4" s="6" t="s">
        <v>40</v>
      </c>
      <c r="B4" s="7"/>
      <c r="C4" s="7"/>
      <c r="D4" s="7"/>
      <c r="E4" s="7"/>
      <c r="F4" s="7"/>
    </row>
    <row r="5" spans="1:9" x14ac:dyDescent="0.35">
      <c r="A5" t="s">
        <v>41</v>
      </c>
      <c r="B5" t="s">
        <v>42</v>
      </c>
      <c r="C5" s="9">
        <v>4200</v>
      </c>
      <c r="D5" s="9">
        <f>C5</f>
        <v>4200</v>
      </c>
      <c r="E5" s="10">
        <f>D5-C5</f>
        <v>0</v>
      </c>
      <c r="F5" s="11">
        <f>IF(C5=0,0,D5/C5)</f>
        <v>1</v>
      </c>
      <c r="G5" s="10">
        <f>IFERROR(INDEX(History!$C$4:$AY$39, MATCH($A5,History!$A$4:$A$39,0), MATCH($H$1,History!$C$2:$AY$2,0)), "")</f>
        <v>4200</v>
      </c>
      <c r="H5" s="10" cm="1">
        <f t="array" ref="H5">IFERROR(INDEX(History!$C$4:$AY$39, MATCH($A5,History!$A$4:$A$39,0), MATCH($H$1,History!$C$2:$AY$2,0)+1), "")</f>
        <v>4200</v>
      </c>
      <c r="I5" s="10">
        <f>IFERROR(D5-H5, "")</f>
        <v>0</v>
      </c>
    </row>
    <row r="6" spans="1:9" x14ac:dyDescent="0.35">
      <c r="A6" t="s">
        <v>43</v>
      </c>
      <c r="B6" t="s">
        <v>42</v>
      </c>
      <c r="C6" s="9">
        <v>4350</v>
      </c>
      <c r="D6" s="9">
        <f>C6</f>
        <v>4350</v>
      </c>
      <c r="E6" s="10">
        <f>D6-C6</f>
        <v>0</v>
      </c>
      <c r="F6" s="11">
        <f>IF(C6=0,0,D6/C6)</f>
        <v>1</v>
      </c>
      <c r="G6" s="10">
        <f>IFERROR(INDEX(History!$C$4:$AY$39, MATCH($A6,History!$A$4:$A$39,0), MATCH($H$1,History!$C$2:$AY$2,0)), "")</f>
        <v>4350</v>
      </c>
      <c r="H6" s="10" cm="1">
        <f t="array" ref="H6">IFERROR(INDEX(History!$C$4:$AY$39, MATCH($A6,History!$A$4:$A$39,0), MATCH($H$1,History!$C$2:$AY$2,0)+1), "")</f>
        <v>4350</v>
      </c>
      <c r="I6" s="10">
        <f>IFERROR(D6-H6, "")</f>
        <v>0</v>
      </c>
    </row>
    <row r="7" spans="1:9" x14ac:dyDescent="0.35">
      <c r="A7" t="s">
        <v>44</v>
      </c>
      <c r="B7" t="s">
        <v>42</v>
      </c>
      <c r="C7" s="9">
        <v>0</v>
      </c>
      <c r="D7" s="9">
        <f>C7</f>
        <v>0</v>
      </c>
      <c r="E7" s="10">
        <f>D7-C7</f>
        <v>0</v>
      </c>
      <c r="F7" s="11">
        <f>IF(C7=0,0,D7/C7)</f>
        <v>0</v>
      </c>
      <c r="G7" s="10">
        <f>IFERROR(INDEX(History!$C$4:$AY$39, MATCH($A7,History!$A$4:$A$39,0), MATCH($H$1,History!$C$2:$AY$2,0)), "")</f>
        <v>0</v>
      </c>
      <c r="H7" s="10" cm="1">
        <f t="array" ref="H7">IFERROR(INDEX(History!$C$4:$AY$39, MATCH($A7,History!$A$4:$A$39,0), MATCH($H$1,History!$C$2:$AY$2,0)+1), "")</f>
        <v>0</v>
      </c>
      <c r="I7" s="10">
        <f>IFERROR(D7-H7, "")</f>
        <v>0</v>
      </c>
    </row>
    <row r="8" spans="1:9" x14ac:dyDescent="0.35">
      <c r="A8" s="12" t="s">
        <v>45</v>
      </c>
      <c r="B8" s="13"/>
      <c r="C8" s="14">
        <f>SUMIF(B5:B7,"Income",C5:C7)</f>
        <v>8550</v>
      </c>
      <c r="D8" s="14">
        <f>SUMIF(B5:B7,"Income",D5:D7)</f>
        <v>8550</v>
      </c>
      <c r="E8" s="14">
        <f>D8-C8</f>
        <v>0</v>
      </c>
      <c r="F8" s="13"/>
    </row>
    <row r="10" spans="1:9" x14ac:dyDescent="0.35">
      <c r="A10" s="6" t="s">
        <v>46</v>
      </c>
      <c r="B10" s="7"/>
      <c r="C10" s="7"/>
      <c r="D10" s="7"/>
      <c r="E10" s="7"/>
      <c r="F10" s="7"/>
    </row>
    <row r="11" spans="1:9" x14ac:dyDescent="0.35">
      <c r="A11" t="s">
        <v>0</v>
      </c>
      <c r="B11" t="s">
        <v>47</v>
      </c>
      <c r="C11" s="9">
        <v>2200</v>
      </c>
      <c r="D11" s="9">
        <f>C11</f>
        <v>2200</v>
      </c>
      <c r="E11" s="10">
        <f>C11-D11</f>
        <v>0</v>
      </c>
      <c r="F11" s="11">
        <f>IF(C11=0,0,D11/C11)</f>
        <v>1</v>
      </c>
      <c r="G11" s="10">
        <f>IFERROR(INDEX(History!$C$4:$AY$39, MATCH($A11,History!$A$4:$A$39,0), MATCH($H$1,History!$C$2:$AY$2,0)), "")</f>
        <v>2200</v>
      </c>
      <c r="H11" s="10" cm="1">
        <f t="array" ref="H11">IFERROR(INDEX(History!$C$4:$AY$39, MATCH($A11,History!$A$4:$A$39,0), MATCH($H$1,History!$C$2:$AY$2,0)+1), "")</f>
        <v>2200</v>
      </c>
      <c r="I11" s="10">
        <f>IFERROR(D11-H11, "")</f>
        <v>0</v>
      </c>
    </row>
    <row r="12" spans="1:9" x14ac:dyDescent="0.35">
      <c r="A12" t="s">
        <v>26</v>
      </c>
      <c r="B12" t="s">
        <v>47</v>
      </c>
      <c r="C12" s="9">
        <v>162</v>
      </c>
      <c r="D12" s="9">
        <f>C12</f>
        <v>162</v>
      </c>
      <c r="E12" s="10">
        <f t="shared" ref="E12:E32" si="0">C12-D12</f>
        <v>0</v>
      </c>
      <c r="F12" s="11">
        <f t="shared" ref="F12:F32" si="1">IF(C12=0,0,D12/C12)</f>
        <v>1</v>
      </c>
      <c r="G12" s="10">
        <f>IFERROR(INDEX(History!$C$4:$AY$39, MATCH($A12,History!$A$4:$A$39,0), MATCH($H$1,History!$C$2:$AY$2,0)), "")</f>
        <v>162</v>
      </c>
      <c r="H12" s="10" cm="1">
        <f t="array" ref="H12">IFERROR(INDEX(History!$C$4:$AY$39, MATCH($A12,History!$A$4:$A$39,0), MATCH($H$1,History!$C$2:$AY$2,0)+1), "")</f>
        <v>162</v>
      </c>
      <c r="I12" s="10">
        <f>IFERROR(D12-H12, "")</f>
        <v>0</v>
      </c>
    </row>
    <row r="13" spans="1:9" x14ac:dyDescent="0.35">
      <c r="A13" t="s">
        <v>30</v>
      </c>
      <c r="B13" t="s">
        <v>47</v>
      </c>
      <c r="C13" s="9">
        <v>1122</v>
      </c>
      <c r="D13" s="9">
        <f>C13</f>
        <v>1122</v>
      </c>
      <c r="E13" s="10">
        <f t="shared" si="0"/>
        <v>0</v>
      </c>
      <c r="F13" s="11">
        <f t="shared" si="1"/>
        <v>1</v>
      </c>
      <c r="G13" s="10">
        <f>IFERROR(INDEX(History!$C$4:$AY$39, MATCH($A13,History!$A$4:$A$39,0), MATCH($H$1,History!$C$2:$AY$2,0)), "")</f>
        <v>1122</v>
      </c>
      <c r="H13" s="10" cm="1">
        <f t="array" ref="H13">IFERROR(INDEX(History!$C$4:$AY$39, MATCH($A13,History!$A$4:$A$39,0), MATCH($H$1,History!$C$2:$AY$2,0)+1), "")</f>
        <v>1122</v>
      </c>
      <c r="I13" s="10">
        <f>IFERROR(D13-H13, "")</f>
        <v>0</v>
      </c>
    </row>
    <row r="14" spans="1:9" x14ac:dyDescent="0.35">
      <c r="A14" t="s">
        <v>31</v>
      </c>
      <c r="B14" t="s">
        <v>47</v>
      </c>
      <c r="C14" s="16">
        <v>16.5</v>
      </c>
      <c r="D14" s="16">
        <f>C14</f>
        <v>16.5</v>
      </c>
      <c r="E14" s="17">
        <f t="shared" si="0"/>
        <v>0</v>
      </c>
      <c r="F14" s="11">
        <f t="shared" si="1"/>
        <v>1</v>
      </c>
      <c r="G14" s="10">
        <f>IFERROR(INDEX(History!$C$4:$AY$39, MATCH($A14,History!$A$4:$A$39,0), MATCH($H$1,History!$C$2:$AY$2,0)), "")</f>
        <v>16.5</v>
      </c>
      <c r="H14" s="10" cm="1">
        <f t="array" ref="H14">IFERROR(INDEX(History!$C$4:$AY$39, MATCH($A14,History!$A$4:$A$39,0), MATCH($H$1,History!$C$2:$AY$2,0)+1), "")</f>
        <v>16.5</v>
      </c>
      <c r="I14" s="10">
        <f>IFERROR(D14-H14, "")</f>
        <v>0</v>
      </c>
    </row>
    <row r="15" spans="1:9" x14ac:dyDescent="0.35">
      <c r="A15" t="s">
        <v>1</v>
      </c>
      <c r="B15" t="s">
        <v>47</v>
      </c>
      <c r="C15" s="9">
        <v>91</v>
      </c>
      <c r="D15" s="9">
        <f>C15</f>
        <v>91</v>
      </c>
      <c r="E15" s="10">
        <f t="shared" si="0"/>
        <v>0</v>
      </c>
      <c r="F15" s="11">
        <f t="shared" si="1"/>
        <v>1</v>
      </c>
      <c r="G15" s="10">
        <f>IFERROR(INDEX(History!$C$4:$AY$39, MATCH($A15,History!$A$4:$A$39,0), MATCH($H$1,History!$C$2:$AY$2,0)), "")</f>
        <v>91</v>
      </c>
      <c r="H15" s="10" cm="1">
        <f t="array" ref="H15">IFERROR(INDEX(History!$C$4:$AY$39, MATCH($A15,History!$A$4:$A$39,0), MATCH($H$1,History!$C$2:$AY$2,0)+1), "")</f>
        <v>91</v>
      </c>
      <c r="I15" s="10">
        <f>IFERROR(D15-H15, "")</f>
        <v>0</v>
      </c>
    </row>
    <row r="16" spans="1:9" x14ac:dyDescent="0.35">
      <c r="A16" t="s">
        <v>2</v>
      </c>
      <c r="B16" t="s">
        <v>47</v>
      </c>
      <c r="C16" s="9">
        <v>15</v>
      </c>
      <c r="D16" s="9">
        <f>C16</f>
        <v>15</v>
      </c>
      <c r="E16" s="10">
        <f t="shared" si="0"/>
        <v>0</v>
      </c>
      <c r="F16" s="11">
        <f t="shared" si="1"/>
        <v>1</v>
      </c>
      <c r="G16" s="10">
        <f>IFERROR(INDEX(History!$C$4:$AY$39, MATCH($A16,History!$A$4:$A$39,0), MATCH($H$1,History!$C$2:$AY$2,0)), "")</f>
        <v>15</v>
      </c>
      <c r="H16" s="10" cm="1">
        <f t="array" ref="H16">IFERROR(INDEX(History!$C$4:$AY$39, MATCH($A16,History!$A$4:$A$39,0), MATCH($H$1,History!$C$2:$AY$2,0)+1), "")</f>
        <v>15</v>
      </c>
      <c r="I16" s="10">
        <f>IFERROR(D16-H16, "")</f>
        <v>0</v>
      </c>
    </row>
    <row r="17" spans="1:9" x14ac:dyDescent="0.35">
      <c r="A17" t="s">
        <v>3</v>
      </c>
      <c r="B17" t="s">
        <v>47</v>
      </c>
      <c r="C17" s="9">
        <v>0</v>
      </c>
      <c r="D17" s="9">
        <f>C17</f>
        <v>0</v>
      </c>
      <c r="E17" s="10">
        <f t="shared" si="0"/>
        <v>0</v>
      </c>
      <c r="F17" s="11">
        <f t="shared" si="1"/>
        <v>0</v>
      </c>
      <c r="G17" s="10">
        <f>IFERROR(INDEX(History!$C$4:$AY$39, MATCH($A17,History!$A$4:$A$39,0), MATCH($H$1,History!$C$2:$AY$2,0)), "")</f>
        <v>0</v>
      </c>
      <c r="H17" s="10" cm="1">
        <f t="array" ref="H17">IFERROR(INDEX(History!$C$4:$AY$39, MATCH($A17,History!$A$4:$A$39,0), MATCH($H$1,History!$C$2:$AY$2,0)+1), "")</f>
        <v>0</v>
      </c>
      <c r="I17" s="10">
        <f>IFERROR(D17-H17, "")</f>
        <v>0</v>
      </c>
    </row>
    <row r="18" spans="1:9" x14ac:dyDescent="0.35">
      <c r="A18" t="s">
        <v>48</v>
      </c>
      <c r="B18" t="s">
        <v>47</v>
      </c>
      <c r="C18" s="16">
        <v>72.739999999999995</v>
      </c>
      <c r="D18" s="16">
        <f>C18</f>
        <v>72.739999999999995</v>
      </c>
      <c r="E18" s="17">
        <f t="shared" si="0"/>
        <v>0</v>
      </c>
      <c r="F18" s="11">
        <f t="shared" si="1"/>
        <v>1</v>
      </c>
      <c r="G18" s="10">
        <f>IFERROR(INDEX(History!$C$4:$AY$39, MATCH($A18,History!$A$4:$A$39,0), MATCH($H$1,History!$C$2:$AY$2,0)), "")</f>
        <v>72.739999999999995</v>
      </c>
      <c r="H18" s="10" cm="1">
        <f t="array" ref="H18">IFERROR(INDEX(History!$C$4:$AY$39, MATCH($A18,History!$A$4:$A$39,0), MATCH($H$1,History!$C$2:$AY$2,0)+1), "")</f>
        <v>72.739999999999995</v>
      </c>
      <c r="I18" s="10">
        <f>IFERROR(D18-H18, "")</f>
        <v>0</v>
      </c>
    </row>
    <row r="19" spans="1:9" x14ac:dyDescent="0.35">
      <c r="A19" t="s">
        <v>32</v>
      </c>
      <c r="B19" t="s">
        <v>47</v>
      </c>
      <c r="C19" s="16">
        <v>53.72</v>
      </c>
      <c r="D19" s="16">
        <f>C19</f>
        <v>53.72</v>
      </c>
      <c r="E19" s="17">
        <f t="shared" si="0"/>
        <v>0</v>
      </c>
      <c r="F19" s="11">
        <f t="shared" si="1"/>
        <v>1</v>
      </c>
      <c r="G19" s="10">
        <f>IFERROR(INDEX(History!$C$4:$AY$39, MATCH($A19,History!$A$4:$A$39,0), MATCH($H$1,History!$C$2:$AY$2,0)), "")</f>
        <v>53.72</v>
      </c>
      <c r="H19" s="10" cm="1">
        <f t="array" ref="H19">IFERROR(INDEX(History!$C$4:$AY$39, MATCH($A19,History!$A$4:$A$39,0), MATCH($H$1,History!$C$2:$AY$2,0)+1), "")</f>
        <v>53.72</v>
      </c>
      <c r="I19" s="10">
        <f>IFERROR(D19-H19, "")</f>
        <v>0</v>
      </c>
    </row>
    <row r="20" spans="1:9" x14ac:dyDescent="0.35">
      <c r="A20" t="s">
        <v>49</v>
      </c>
      <c r="B20" t="s">
        <v>47</v>
      </c>
      <c r="C20" s="9">
        <v>90</v>
      </c>
      <c r="D20" s="9">
        <f>C20</f>
        <v>90</v>
      </c>
      <c r="E20" s="10">
        <f t="shared" si="0"/>
        <v>0</v>
      </c>
      <c r="F20" s="11">
        <f t="shared" si="1"/>
        <v>1</v>
      </c>
      <c r="G20" s="10">
        <f>IFERROR(INDEX(History!$C$4:$AY$39, MATCH($A20,History!$A$4:$A$39,0), MATCH($H$1,History!$C$2:$AY$2,0)), "")</f>
        <v>90</v>
      </c>
      <c r="H20" s="10" cm="1">
        <f t="array" ref="H20">IFERROR(INDEX(History!$C$4:$AY$39, MATCH($A20,History!$A$4:$A$39,0), MATCH($H$1,History!$C$2:$AY$2,0)+1), "")</f>
        <v>90</v>
      </c>
      <c r="I20" s="10">
        <f>IFERROR(D20-H20, "")</f>
        <v>0</v>
      </c>
    </row>
    <row r="21" spans="1:9" x14ac:dyDescent="0.35">
      <c r="A21" t="s">
        <v>4</v>
      </c>
      <c r="B21" t="s">
        <v>47</v>
      </c>
      <c r="C21" s="9">
        <v>334</v>
      </c>
      <c r="D21" s="9">
        <f>C21</f>
        <v>334</v>
      </c>
      <c r="E21" s="10">
        <f t="shared" si="0"/>
        <v>0</v>
      </c>
      <c r="F21" s="11">
        <f t="shared" si="1"/>
        <v>1</v>
      </c>
      <c r="G21" s="10">
        <f>IFERROR(INDEX(History!$C$4:$AY$39, MATCH($A21,History!$A$4:$A$39,0), MATCH($H$1,History!$C$2:$AY$2,0)), "")</f>
        <v>334</v>
      </c>
      <c r="H21" s="10" cm="1">
        <f t="array" ref="H21">IFERROR(INDEX(History!$C$4:$AY$39, MATCH($A21,History!$A$4:$A$39,0), MATCH($H$1,History!$C$2:$AY$2,0)+1), "")</f>
        <v>334</v>
      </c>
      <c r="I21" s="10">
        <f>IFERROR(D21-H21, "")</f>
        <v>0</v>
      </c>
    </row>
    <row r="22" spans="1:9" x14ac:dyDescent="0.35">
      <c r="A22" t="s">
        <v>5</v>
      </c>
      <c r="B22" t="s">
        <v>47</v>
      </c>
      <c r="C22" s="9">
        <v>66</v>
      </c>
      <c r="D22" s="9">
        <f>C22</f>
        <v>66</v>
      </c>
      <c r="E22" s="10">
        <f t="shared" si="0"/>
        <v>0</v>
      </c>
      <c r="F22" s="11">
        <f t="shared" si="1"/>
        <v>1</v>
      </c>
      <c r="G22" s="10">
        <f>IFERROR(INDEX(History!$C$4:$AY$39, MATCH($A22,History!$A$4:$A$39,0), MATCH($H$1,History!$C$2:$AY$2,0)), "")</f>
        <v>66</v>
      </c>
      <c r="H22" s="10" cm="1">
        <f t="array" ref="H22">IFERROR(INDEX(History!$C$4:$AY$39, MATCH($A22,History!$A$4:$A$39,0), MATCH($H$1,History!$C$2:$AY$2,0)+1), "")</f>
        <v>66</v>
      </c>
      <c r="I22" s="10">
        <f>IFERROR(D22-H22, "")</f>
        <v>0</v>
      </c>
    </row>
    <row r="23" spans="1:9" x14ac:dyDescent="0.35">
      <c r="A23" t="s">
        <v>50</v>
      </c>
      <c r="B23" t="s">
        <v>47</v>
      </c>
      <c r="C23" s="9">
        <v>35</v>
      </c>
      <c r="D23" s="9">
        <f>C23</f>
        <v>35</v>
      </c>
      <c r="E23" s="10">
        <f t="shared" si="0"/>
        <v>0</v>
      </c>
      <c r="F23" s="11">
        <f t="shared" si="1"/>
        <v>1</v>
      </c>
      <c r="G23" s="10">
        <f>IFERROR(INDEX(History!$C$4:$AY$39, MATCH($A23,History!$A$4:$A$39,0), MATCH($H$1,History!$C$2:$AY$2,0)), "")</f>
        <v>35</v>
      </c>
      <c r="H23" s="10" cm="1">
        <f t="array" ref="H23">IFERROR(INDEX(History!$C$4:$AY$39, MATCH($A23,History!$A$4:$A$39,0), MATCH($H$1,History!$C$2:$AY$2,0)+1), "")</f>
        <v>35</v>
      </c>
      <c r="I23" s="10">
        <f>IFERROR(D23-H23, "")</f>
        <v>0</v>
      </c>
    </row>
    <row r="24" spans="1:9" x14ac:dyDescent="0.35">
      <c r="A24" t="s">
        <v>15</v>
      </c>
      <c r="B24" t="s">
        <v>47</v>
      </c>
      <c r="C24" s="9">
        <v>5</v>
      </c>
      <c r="D24" s="9">
        <f>C24</f>
        <v>5</v>
      </c>
      <c r="E24" s="10">
        <f t="shared" si="0"/>
        <v>0</v>
      </c>
      <c r="F24" s="11">
        <f t="shared" si="1"/>
        <v>1</v>
      </c>
      <c r="G24" s="10">
        <f>IFERROR(INDEX(History!$C$4:$AY$39, MATCH($A24,History!$A$4:$A$39,0), MATCH($H$1,History!$C$2:$AY$2,0)), "")</f>
        <v>5</v>
      </c>
      <c r="H24" s="10" cm="1">
        <f t="array" ref="H24">IFERROR(INDEX(History!$C$4:$AY$39, MATCH($A24,History!$A$4:$A$39,0), MATCH($H$1,History!$C$2:$AY$2,0)+1), "")</f>
        <v>5</v>
      </c>
      <c r="I24" s="10">
        <f>IFERROR(D24-H24, "")</f>
        <v>0</v>
      </c>
    </row>
    <row r="25" spans="1:9" x14ac:dyDescent="0.35">
      <c r="A25" t="s">
        <v>51</v>
      </c>
      <c r="B25" t="s">
        <v>47</v>
      </c>
      <c r="C25" s="16">
        <v>43.75</v>
      </c>
      <c r="D25" s="16">
        <f>C25</f>
        <v>43.75</v>
      </c>
      <c r="E25" s="17">
        <f t="shared" si="0"/>
        <v>0</v>
      </c>
      <c r="F25" s="11">
        <f t="shared" si="1"/>
        <v>1</v>
      </c>
      <c r="G25" s="10">
        <f>IFERROR(INDEX(History!$C$4:$AY$39, MATCH($A25,History!$A$4:$A$39,0), MATCH($H$1,History!$C$2:$AY$2,0)), "")</f>
        <v>43.75</v>
      </c>
      <c r="H25" s="10" cm="1">
        <f t="array" ref="H25">IFERROR(INDEX(History!$C$4:$AY$39, MATCH($A25,History!$A$4:$A$39,0), MATCH($H$1,History!$C$2:$AY$2,0)+1), "")</f>
        <v>43.75</v>
      </c>
      <c r="I25" s="10">
        <f>IFERROR(D25-H25, "")</f>
        <v>0</v>
      </c>
    </row>
    <row r="26" spans="1:9" x14ac:dyDescent="0.35">
      <c r="A26" t="s">
        <v>28</v>
      </c>
      <c r="B26" t="s">
        <v>47</v>
      </c>
      <c r="C26" s="9">
        <v>651</v>
      </c>
      <c r="D26" s="9">
        <f>C26</f>
        <v>651</v>
      </c>
      <c r="E26" s="10">
        <f t="shared" si="0"/>
        <v>0</v>
      </c>
      <c r="F26" s="11">
        <f t="shared" si="1"/>
        <v>1</v>
      </c>
      <c r="G26" s="10">
        <f>IFERROR(INDEX(History!$C$4:$AY$39, MATCH($A26,History!$A$4:$A$39,0), MATCH($H$1,History!$C$2:$AY$2,0)), "")</f>
        <v>651</v>
      </c>
      <c r="H26" s="10" cm="1">
        <f t="array" ref="H26">IFERROR(INDEX(History!$C$4:$AY$39, MATCH($A26,History!$A$4:$A$39,0), MATCH($H$1,History!$C$2:$AY$2,0)+1), "")</f>
        <v>651</v>
      </c>
      <c r="I26" s="10">
        <f>IFERROR(D26-H26, "")</f>
        <v>0</v>
      </c>
    </row>
    <row r="27" spans="1:9" x14ac:dyDescent="0.35">
      <c r="A27" t="s">
        <v>27</v>
      </c>
      <c r="B27" t="s">
        <v>47</v>
      </c>
      <c r="C27" s="9">
        <v>34</v>
      </c>
      <c r="D27" s="9">
        <f>C27</f>
        <v>34</v>
      </c>
      <c r="E27" s="10">
        <f t="shared" si="0"/>
        <v>0</v>
      </c>
      <c r="F27" s="11">
        <f t="shared" si="1"/>
        <v>1</v>
      </c>
      <c r="G27" s="10">
        <f>IFERROR(INDEX(History!$C$4:$AY$39, MATCH($A27,History!$A$4:$A$39,0), MATCH($H$1,History!$C$2:$AY$2,0)), "")</f>
        <v>34</v>
      </c>
      <c r="H27" s="10" cm="1">
        <f t="array" ref="H27">IFERROR(INDEX(History!$C$4:$AY$39, MATCH($A27,History!$A$4:$A$39,0), MATCH($H$1,History!$C$2:$AY$2,0)+1), "")</f>
        <v>34</v>
      </c>
      <c r="I27" s="10">
        <f>IFERROR(D27-H27, "")</f>
        <v>0</v>
      </c>
    </row>
    <row r="28" spans="1:9" x14ac:dyDescent="0.35">
      <c r="A28" t="s">
        <v>6</v>
      </c>
      <c r="B28" t="s">
        <v>47</v>
      </c>
      <c r="C28" s="9">
        <v>12</v>
      </c>
      <c r="D28" s="9">
        <f>C28</f>
        <v>12</v>
      </c>
      <c r="E28" s="10">
        <f t="shared" si="0"/>
        <v>0</v>
      </c>
      <c r="F28" s="11">
        <f t="shared" si="1"/>
        <v>1</v>
      </c>
      <c r="G28" s="10">
        <f>IFERROR(INDEX(History!$C$4:$AY$39, MATCH($A28,History!$A$4:$A$39,0), MATCH($H$1,History!$C$2:$AY$2,0)), "")</f>
        <v>12</v>
      </c>
      <c r="H28" s="10" cm="1">
        <f t="array" ref="H28">IFERROR(INDEX(History!$C$4:$AY$39, MATCH($A28,History!$A$4:$A$39,0), MATCH($H$1,History!$C$2:$AY$2,0)+1), "")</f>
        <v>12</v>
      </c>
      <c r="I28" s="10">
        <f>IFERROR(D28-H28, "")</f>
        <v>0</v>
      </c>
    </row>
    <row r="29" spans="1:9" x14ac:dyDescent="0.35">
      <c r="A29" t="s">
        <v>29</v>
      </c>
      <c r="B29" t="s">
        <v>47</v>
      </c>
      <c r="C29" s="9">
        <v>55</v>
      </c>
      <c r="D29" s="9">
        <f>C29</f>
        <v>55</v>
      </c>
      <c r="E29" s="10">
        <f t="shared" si="0"/>
        <v>0</v>
      </c>
      <c r="F29" s="11">
        <f t="shared" si="1"/>
        <v>1</v>
      </c>
      <c r="G29" s="10">
        <f>IFERROR(INDEX(History!$C$4:$AY$39, MATCH($A29,History!$A$4:$A$39,0), MATCH($H$1,History!$C$2:$AY$2,0)), "")</f>
        <v>55</v>
      </c>
      <c r="H29" s="10" cm="1">
        <f t="array" ref="H29">IFERROR(INDEX(History!$C$4:$AY$39, MATCH($A29,History!$A$4:$A$39,0), MATCH($H$1,History!$C$2:$AY$2,0)+1), "")</f>
        <v>55</v>
      </c>
      <c r="I29" s="10">
        <f>IFERROR(D29-H29, "")</f>
        <v>0</v>
      </c>
    </row>
    <row r="30" spans="1:9" x14ac:dyDescent="0.35">
      <c r="A30" t="s">
        <v>7</v>
      </c>
      <c r="B30" t="s">
        <v>47</v>
      </c>
      <c r="C30" s="9">
        <v>15</v>
      </c>
      <c r="D30" s="9">
        <f>C30</f>
        <v>15</v>
      </c>
      <c r="E30" s="10">
        <f t="shared" si="0"/>
        <v>0</v>
      </c>
      <c r="F30" s="11">
        <f t="shared" si="1"/>
        <v>1</v>
      </c>
      <c r="G30" s="10">
        <f>IFERROR(INDEX(History!$C$4:$AY$39, MATCH($A30,History!$A$4:$A$39,0), MATCH($H$1,History!$C$2:$AY$2,0)), "")</f>
        <v>15</v>
      </c>
      <c r="H30" s="10" cm="1">
        <f t="array" ref="H30">IFERROR(INDEX(History!$C$4:$AY$39, MATCH($A30,History!$A$4:$A$39,0), MATCH($H$1,History!$C$2:$AY$2,0)+1), "")</f>
        <v>15</v>
      </c>
      <c r="I30" s="10">
        <f>IFERROR(D30-H30, "")</f>
        <v>0</v>
      </c>
    </row>
    <row r="31" spans="1:9" x14ac:dyDescent="0.35">
      <c r="A31" t="s">
        <v>16</v>
      </c>
      <c r="B31" t="s">
        <v>47</v>
      </c>
      <c r="C31" s="9">
        <v>20</v>
      </c>
      <c r="D31" s="9">
        <f>C31</f>
        <v>20</v>
      </c>
      <c r="E31" s="10">
        <f t="shared" si="0"/>
        <v>0</v>
      </c>
      <c r="F31" s="11">
        <f t="shared" si="1"/>
        <v>1</v>
      </c>
      <c r="G31" s="10">
        <f>IFERROR(INDEX(History!$C$4:$AY$39, MATCH($A31,History!$A$4:$A$39,0), MATCH($H$1,History!$C$2:$AY$2,0)), "")</f>
        <v>20</v>
      </c>
      <c r="H31" s="10" cm="1">
        <f t="array" ref="H31">IFERROR(INDEX(History!$C$4:$AY$39, MATCH($A31,History!$A$4:$A$39,0), MATCH($H$1,History!$C$2:$AY$2,0)+1), "")</f>
        <v>20</v>
      </c>
      <c r="I31" s="10">
        <f>IFERROR(D31-H31, "")</f>
        <v>0</v>
      </c>
    </row>
    <row r="32" spans="1:9" x14ac:dyDescent="0.35">
      <c r="A32" t="s">
        <v>18</v>
      </c>
      <c r="B32" t="s">
        <v>47</v>
      </c>
      <c r="C32" s="16">
        <v>426.42</v>
      </c>
      <c r="D32" s="16">
        <f>C32</f>
        <v>426.42</v>
      </c>
      <c r="E32" s="17">
        <f t="shared" si="0"/>
        <v>0</v>
      </c>
      <c r="F32" s="11">
        <f t="shared" si="1"/>
        <v>1</v>
      </c>
      <c r="G32" s="10">
        <f>IFERROR(INDEX(History!$C$4:$AY$39, MATCH($A32,History!$A$4:$A$39,0), MATCH($H$1,History!$C$2:$AY$2,0)), "")</f>
        <v>426.42</v>
      </c>
      <c r="H32" s="10" cm="1">
        <f t="array" ref="H32">IFERROR(INDEX(History!$C$4:$AY$39, MATCH($A32,History!$A$4:$A$39,0), MATCH($H$1,History!$C$2:$AY$2,0)+1), "")</f>
        <v>426.42</v>
      </c>
      <c r="I32" s="10">
        <f>IFERROR(D32-H32, "")</f>
        <v>0</v>
      </c>
    </row>
    <row r="33" spans="1:9" x14ac:dyDescent="0.35">
      <c r="A33" s="12" t="s">
        <v>61</v>
      </c>
      <c r="B33" s="13"/>
      <c r="C33" s="14">
        <f>SUMIF($B$11:$B$32,"Fixed",C11:C32)</f>
        <v>5520.1299999999992</v>
      </c>
      <c r="D33" s="18">
        <f>SUMIF($B$11:$B$32,"Fixed",D11:D32)</f>
        <v>5520.1299999999992</v>
      </c>
      <c r="E33" s="14">
        <f>C33-D33</f>
        <v>0</v>
      </c>
      <c r="F33" s="20">
        <f>IF(C33=0,0,D33/C33)</f>
        <v>1</v>
      </c>
    </row>
    <row r="34" spans="1:9" x14ac:dyDescent="0.35">
      <c r="A34" s="6" t="s">
        <v>52</v>
      </c>
      <c r="B34" s="7"/>
      <c r="C34" s="7"/>
      <c r="D34" s="7"/>
      <c r="E34" s="7"/>
      <c r="F34" s="7"/>
    </row>
    <row r="35" spans="1:9" x14ac:dyDescent="0.35">
      <c r="A35" t="s">
        <v>11</v>
      </c>
      <c r="B35" t="s">
        <v>53</v>
      </c>
      <c r="C35" s="9">
        <v>600</v>
      </c>
      <c r="D35" s="9">
        <f>C35</f>
        <v>600</v>
      </c>
      <c r="E35" s="10">
        <f>C35-D35</f>
        <v>0</v>
      </c>
      <c r="F35" s="11">
        <f>IF(C35=0,0,D35/C35)</f>
        <v>1</v>
      </c>
      <c r="G35" s="10">
        <f>IFERROR(INDEX(History!$C$4:$AY$39, MATCH($A35,History!$A$4:$A$39,0), MATCH($H$1,History!$C$2:$AY$2,0)), "")</f>
        <v>600</v>
      </c>
      <c r="H35" s="10" cm="1">
        <f t="array" ref="H35">IFERROR(INDEX(History!$C$4:$AY$39, MATCH($A35,History!$A$4:$A$39,0), MATCH($H$1,History!$C$2:$AY$2,0)+1), "")</f>
        <v>600</v>
      </c>
      <c r="I35" s="10">
        <f>IFERROR(D35-H35, "")</f>
        <v>0</v>
      </c>
    </row>
    <row r="36" spans="1:9" x14ac:dyDescent="0.35">
      <c r="A36" t="s">
        <v>12</v>
      </c>
      <c r="B36" t="s">
        <v>53</v>
      </c>
      <c r="C36" s="9">
        <v>100</v>
      </c>
      <c r="D36" s="9">
        <f>C36</f>
        <v>100</v>
      </c>
      <c r="E36" s="10">
        <f>C36-D36</f>
        <v>0</v>
      </c>
      <c r="F36" s="11">
        <f>IF(C36=0,0,D36/C36)</f>
        <v>1</v>
      </c>
      <c r="G36" s="10">
        <f>IFERROR(INDEX(History!$C$4:$AY$39, MATCH($A36,History!$A$4:$A$39,0), MATCH($H$1,History!$C$2:$AY$2,0)), "")</f>
        <v>100</v>
      </c>
      <c r="H36" s="10" cm="1">
        <f t="array" ref="H36">IFERROR(INDEX(History!$C$4:$AY$39, MATCH($A36,History!$A$4:$A$39,0), MATCH($H$1,History!$C$2:$AY$2,0)+1), "")</f>
        <v>100</v>
      </c>
      <c r="I36" s="10">
        <f>IFERROR(D36-H36, "")</f>
        <v>0</v>
      </c>
    </row>
    <row r="37" spans="1:9" x14ac:dyDescent="0.35">
      <c r="A37" t="s">
        <v>13</v>
      </c>
      <c r="B37" t="s">
        <v>53</v>
      </c>
      <c r="C37" s="9">
        <v>70</v>
      </c>
      <c r="D37" s="9">
        <f>C37</f>
        <v>70</v>
      </c>
      <c r="E37" s="10">
        <f>C37-D37</f>
        <v>0</v>
      </c>
      <c r="F37" s="11">
        <f>IF(C37=0,0,D37/C37)</f>
        <v>1</v>
      </c>
      <c r="G37" s="10">
        <f>IFERROR(INDEX(History!$C$4:$AY$39, MATCH($A37,History!$A$4:$A$39,0), MATCH($H$1,History!$C$2:$AY$2,0)), "")</f>
        <v>70</v>
      </c>
      <c r="H37" s="10" cm="1">
        <f t="array" ref="H37">IFERROR(INDEX(History!$C$4:$AY$39, MATCH($A37,History!$A$4:$A$39,0), MATCH($H$1,History!$C$2:$AY$2,0)+1), "")</f>
        <v>70</v>
      </c>
      <c r="I37" s="10">
        <f>IFERROR(D37-H37, "")</f>
        <v>0</v>
      </c>
    </row>
    <row r="38" spans="1:9" x14ac:dyDescent="0.35">
      <c r="A38" t="s">
        <v>14</v>
      </c>
      <c r="B38" t="s">
        <v>53</v>
      </c>
      <c r="C38" s="9">
        <v>600</v>
      </c>
      <c r="D38" s="9">
        <f>C38</f>
        <v>600</v>
      </c>
      <c r="E38" s="10">
        <f>C38-D38</f>
        <v>0</v>
      </c>
      <c r="F38" s="11">
        <f>IF(C38=0,0,D38/C38)</f>
        <v>1</v>
      </c>
      <c r="G38" s="10">
        <f>IFERROR(INDEX(History!$C$4:$AY$39, MATCH($A38,History!$A$4:$A$39,0), MATCH($H$1,History!$C$2:$AY$2,0)), "")</f>
        <v>600</v>
      </c>
      <c r="H38" s="10" cm="1">
        <f t="array" ref="H38">IFERROR(INDEX(History!$C$4:$AY$39, MATCH($A38,History!$A$4:$A$39,0), MATCH($H$1,History!$C$2:$AY$2,0)+1), "")</f>
        <v>600</v>
      </c>
      <c r="I38" s="10">
        <f>IFERROR(D38-H38, "")</f>
        <v>0</v>
      </c>
    </row>
    <row r="39" spans="1:9" x14ac:dyDescent="0.35">
      <c r="A39" t="s">
        <v>54</v>
      </c>
      <c r="B39" t="s">
        <v>53</v>
      </c>
      <c r="C39" s="9">
        <v>100</v>
      </c>
      <c r="D39" s="9">
        <f>C39</f>
        <v>100</v>
      </c>
      <c r="E39" s="10">
        <f>C39-D39</f>
        <v>0</v>
      </c>
      <c r="F39" s="11">
        <f>IF(C39=0,0,D39/C39)</f>
        <v>1</v>
      </c>
      <c r="G39" s="10">
        <f>IFERROR(INDEX(History!$C$4:$AY$39, MATCH($A39,History!$A$4:$A$39,0), MATCH($H$1,History!$C$2:$AY$2,0)), "")</f>
        <v>100</v>
      </c>
      <c r="H39" s="10" cm="1">
        <f t="array" ref="H39">IFERROR(INDEX(History!$C$4:$AY$39, MATCH($A39,History!$A$4:$A$39,0), MATCH($H$1,History!$C$2:$AY$2,0)+1), "")</f>
        <v>100</v>
      </c>
      <c r="I39" s="10">
        <f>IFERROR(D39-H39, "")</f>
        <v>0</v>
      </c>
    </row>
    <row r="40" spans="1:9" x14ac:dyDescent="0.35">
      <c r="A40" s="12" t="s">
        <v>62</v>
      </c>
      <c r="B40" s="13"/>
      <c r="C40" s="14">
        <f>SUMIF($B$35:$B$39,"Variable",C35:C39)</f>
        <v>1470</v>
      </c>
      <c r="D40" s="18">
        <f>SUMIF($B$35:$B$39,"Variable",D35:D39)</f>
        <v>1470</v>
      </c>
      <c r="E40" s="14">
        <f>C40-D40</f>
        <v>0</v>
      </c>
      <c r="F40" s="20">
        <f>IF(C40=0,0,D40/C40)</f>
        <v>1</v>
      </c>
    </row>
    <row r="41" spans="1:9" x14ac:dyDescent="0.35">
      <c r="A41" s="6" t="s">
        <v>55</v>
      </c>
      <c r="B41" s="7"/>
      <c r="C41" s="7"/>
      <c r="D41" s="7"/>
      <c r="E41" s="7"/>
      <c r="F41" s="7"/>
    </row>
    <row r="42" spans="1:9" x14ac:dyDescent="0.35">
      <c r="A42" t="s">
        <v>8</v>
      </c>
      <c r="B42" t="s">
        <v>56</v>
      </c>
      <c r="C42" s="9">
        <v>100</v>
      </c>
      <c r="D42" s="9">
        <f>C42</f>
        <v>100</v>
      </c>
      <c r="E42" s="10">
        <f>C42-D42</f>
        <v>0</v>
      </c>
      <c r="F42" s="11">
        <f>IF(C42=0,0,D42/C42)</f>
        <v>1</v>
      </c>
      <c r="G42" s="10">
        <f>IFERROR(INDEX(History!$C$4:$AY$39, MATCH($A42,History!$A$4:$A$39,0), MATCH($H$1,History!$C$2:$AY$2,0)), "")</f>
        <v>100</v>
      </c>
      <c r="H42" s="10" cm="1">
        <f t="array" ref="H42">IFERROR(INDEX(History!$C$4:$AY$39, MATCH($A42,History!$A$4:$A$39,0), MATCH($H$1,History!$C$2:$AY$2,0)+1), "")</f>
        <v>100</v>
      </c>
      <c r="I42" s="10">
        <f>IFERROR(D42-H42, "")</f>
        <v>0</v>
      </c>
    </row>
    <row r="43" spans="1:9" x14ac:dyDescent="0.35">
      <c r="A43" t="s">
        <v>57</v>
      </c>
      <c r="B43" t="s">
        <v>56</v>
      </c>
      <c r="C43" s="9">
        <v>128.30000000000001</v>
      </c>
      <c r="D43" s="9">
        <f>C43</f>
        <v>128.30000000000001</v>
      </c>
      <c r="E43" s="10">
        <f>C43-D43</f>
        <v>0</v>
      </c>
      <c r="F43" s="11">
        <f>IF(C43=0,0,D43/C43)</f>
        <v>1</v>
      </c>
      <c r="G43" s="10">
        <f>IFERROR(INDEX(History!$C$4:$AY$39, MATCH($A43,History!$A$4:$A$39,0), MATCH($H$1,History!$C$2:$AY$2,0)), "")</f>
        <v>128.30000000000001</v>
      </c>
      <c r="H43" s="10" cm="1">
        <f t="array" ref="H43">IFERROR(INDEX(History!$C$4:$AY$39, MATCH($A43,History!$A$4:$A$39,0), MATCH($H$1,History!$C$2:$AY$2,0)+1), "")</f>
        <v>128.30000000000001</v>
      </c>
      <c r="I43" s="10">
        <f>IFERROR(D43-H43, "")</f>
        <v>0</v>
      </c>
    </row>
    <row r="44" spans="1:9" x14ac:dyDescent="0.35">
      <c r="A44" t="s">
        <v>9</v>
      </c>
      <c r="B44" t="s">
        <v>56</v>
      </c>
      <c r="C44" s="9">
        <v>32.5</v>
      </c>
      <c r="D44" s="9">
        <f>C44</f>
        <v>32.5</v>
      </c>
      <c r="E44" s="10">
        <f>C44-D44</f>
        <v>0</v>
      </c>
      <c r="F44" s="11">
        <f>IF(C44=0,0,D44/C44)</f>
        <v>1</v>
      </c>
      <c r="G44" s="10">
        <f>IFERROR(INDEX(History!$C$4:$AY$39, MATCH($A44,History!$A$4:$A$39,0), MATCH($H$1,History!$C$2:$AY$2,0)), "")</f>
        <v>32.5</v>
      </c>
      <c r="H44" s="10" cm="1">
        <f t="array" ref="H44">IFERROR(INDEX(History!$C$4:$AY$39, MATCH($A44,History!$A$4:$A$39,0), MATCH($H$1,History!$C$2:$AY$2,0)+1), "")</f>
        <v>32.5</v>
      </c>
      <c r="I44" s="10">
        <f>IFERROR(D44-H44, "")</f>
        <v>0</v>
      </c>
    </row>
    <row r="45" spans="1:9" x14ac:dyDescent="0.35">
      <c r="A45" s="12" t="s">
        <v>63</v>
      </c>
      <c r="B45" s="13"/>
      <c r="C45" s="14">
        <f>SUMIF($B$42:$B$44,"Pets",C42:C44)</f>
        <v>260.8</v>
      </c>
      <c r="D45" s="14">
        <f>SUMIF($B$42:$B$44,"Pets",D42:D44)</f>
        <v>260.8</v>
      </c>
      <c r="E45" s="14">
        <f>C45-D45</f>
        <v>0</v>
      </c>
      <c r="F45" s="20">
        <f>IF(C45=0,0,D45/C45)</f>
        <v>1</v>
      </c>
    </row>
    <row r="46" spans="1:9" x14ac:dyDescent="0.35">
      <c r="A46" s="6" t="s">
        <v>58</v>
      </c>
      <c r="B46" s="7"/>
      <c r="C46" s="7"/>
      <c r="D46" s="7"/>
      <c r="E46" s="7"/>
      <c r="F46" s="7"/>
    </row>
    <row r="47" spans="1:9" x14ac:dyDescent="0.35">
      <c r="A47" t="s">
        <v>59</v>
      </c>
      <c r="B47" t="s">
        <v>17</v>
      </c>
      <c r="C47" s="9">
        <v>800</v>
      </c>
      <c r="D47" s="9">
        <f>C47</f>
        <v>800</v>
      </c>
      <c r="E47" s="10">
        <f>C47-D47</f>
        <v>0</v>
      </c>
      <c r="F47" s="11">
        <f>IF(C47=0,0,D47/C47)</f>
        <v>1</v>
      </c>
      <c r="G47" s="10">
        <f>IFERROR(INDEX(History!$C$4:$AY$39, MATCH($A47,History!$A$4:$A$39,0), MATCH($H$1,History!$C$2:$AY$2,0)), "")</f>
        <v>800</v>
      </c>
      <c r="H47" s="10" cm="1">
        <f t="array" ref="H47">IFERROR(INDEX(History!$C$4:$AY$39, MATCH($A47,History!$A$4:$A$39,0), MATCH($H$1,History!$C$2:$AY$2,0)+1), "")</f>
        <v>800</v>
      </c>
      <c r="I47" s="10">
        <f>IFERROR(D47-H47, "")</f>
        <v>0</v>
      </c>
    </row>
    <row r="48" spans="1:9" x14ac:dyDescent="0.35">
      <c r="A48" t="s">
        <v>113</v>
      </c>
      <c r="B48" t="s">
        <v>17</v>
      </c>
      <c r="C48" s="9">
        <v>400</v>
      </c>
      <c r="D48" s="9">
        <f>C48</f>
        <v>400</v>
      </c>
      <c r="E48" s="10">
        <f>C48-D48</f>
        <v>0</v>
      </c>
      <c r="F48" s="11">
        <f>IF(C48=0,0,D48/C48)</f>
        <v>1</v>
      </c>
      <c r="G48" s="10">
        <f>IFERROR(INDEX(History!$C$4:$AY$39, MATCH($A48,History!$A$4:$A$39,0), MATCH($H$1,History!$C$2:$AY$2,0)), "")</f>
        <v>400</v>
      </c>
      <c r="H48" s="10" cm="1">
        <f t="array" ref="H48">IFERROR(INDEX(History!$C$4:$AY$39, MATCH($A48,History!$A$4:$A$39,0), MATCH($H$1,History!$C$2:$AY$2,0)+1), "")</f>
        <v>400</v>
      </c>
      <c r="I48" s="10">
        <f>IFERROR(D48-H48, "")</f>
        <v>0</v>
      </c>
    </row>
    <row r="49" spans="1:9" x14ac:dyDescent="0.35">
      <c r="A49" t="s">
        <v>60</v>
      </c>
      <c r="B49" t="s">
        <v>17</v>
      </c>
      <c r="C49" s="9">
        <v>0</v>
      </c>
      <c r="D49" s="9">
        <f>C49</f>
        <v>0</v>
      </c>
      <c r="E49" s="10">
        <f>C49-D49</f>
        <v>0</v>
      </c>
      <c r="F49" s="11">
        <f>IF(C49=0,0,D49/C49)</f>
        <v>0</v>
      </c>
      <c r="G49" s="10">
        <f>IFERROR(INDEX(History!$C$4:$AY$39, MATCH($A49,History!$A$4:$A$39,0), MATCH($H$1,History!$C$2:$AY$2,0)), "")</f>
        <v>0</v>
      </c>
      <c r="H49" s="10" cm="1">
        <f t="array" ref="H49">IFERROR(INDEX(History!$C$4:$AY$39, MATCH($A49,History!$A$4:$A$39,0), MATCH($H$1,History!$C$2:$AY$2,0)+1), "")</f>
        <v>0</v>
      </c>
      <c r="I49" s="10">
        <f>IFERROR(D49-H49, "")</f>
        <v>0</v>
      </c>
    </row>
    <row r="50" spans="1:9" x14ac:dyDescent="0.35">
      <c r="A50" s="12" t="s">
        <v>64</v>
      </c>
      <c r="B50" s="13"/>
      <c r="C50" s="14">
        <f>SUMIF($B$47:$B$49,"Savings",C47:C49)</f>
        <v>1200</v>
      </c>
      <c r="D50" s="14">
        <f>SUMIF($B$47:$B$49,"Savings",D47:D49)</f>
        <v>1200</v>
      </c>
      <c r="E50" s="14">
        <f>C50-D50</f>
        <v>0</v>
      </c>
      <c r="F50" s="20">
        <f>IF(C50=0,0,D50/C50)</f>
        <v>1</v>
      </c>
    </row>
    <row r="52" spans="1:9" x14ac:dyDescent="0.35">
      <c r="A52" s="3" t="s">
        <v>65</v>
      </c>
      <c r="B52" s="21"/>
      <c r="C52" s="22">
        <f>C33+C40+C45+C50</f>
        <v>8450.93</v>
      </c>
      <c r="D52" s="22">
        <f>D33+D40+D45+D50</f>
        <v>8450.93</v>
      </c>
      <c r="E52" s="22">
        <f>C52-D52</f>
        <v>0</v>
      </c>
      <c r="F52" s="23">
        <f>IF(C52=0,0,D52/C52)</f>
        <v>1</v>
      </c>
    </row>
    <row r="53" spans="1:9" x14ac:dyDescent="0.35">
      <c r="A53" s="24" t="s">
        <v>66</v>
      </c>
      <c r="B53" s="25"/>
      <c r="C53" s="26">
        <f>C8-C52</f>
        <v>99.069999999999709</v>
      </c>
      <c r="D53" s="26">
        <f>D8-D52</f>
        <v>99.069999999999709</v>
      </c>
      <c r="E53" s="25"/>
      <c r="F53" s="25"/>
    </row>
  </sheetData>
  <conditionalFormatting sqref="F11:F32">
    <cfRule type="cellIs" priority="1" operator="between"/>
  </conditionalFormatting>
  <conditionalFormatting sqref="F11:F32">
    <cfRule type="cellIs" priority="2" operator="greaterThan">
      <formula>1</formula>
    </cfRule>
  </conditionalFormatting>
  <conditionalFormatting sqref="F11:F32">
    <cfRule type="cellIs" dxfId="17" priority="3" operator="greaterThan">
      <formula>1</formula>
    </cfRule>
  </conditionalFormatting>
  <conditionalFormatting sqref="F11:F32">
    <cfRule type="cellIs" dxfId="16" priority="4" operator="between">
      <formula>0.9</formula>
      <formula>1</formula>
    </cfRule>
  </conditionalFormatting>
  <conditionalFormatting sqref="F35:F39">
    <cfRule type="cellIs" dxfId="15" priority="5" operator="greaterThan">
      <formula>1</formula>
    </cfRule>
  </conditionalFormatting>
  <conditionalFormatting sqref="F35:F39">
    <cfRule type="cellIs" dxfId="14" priority="6" operator="between">
      <formula>0.9</formula>
      <formula>1</formula>
    </cfRule>
  </conditionalFormatting>
  <conditionalFormatting sqref="F42:F44">
    <cfRule type="cellIs" dxfId="13" priority="7" operator="greaterThan">
      <formula>1</formula>
    </cfRule>
  </conditionalFormatting>
  <conditionalFormatting sqref="F42:F44">
    <cfRule type="cellIs" dxfId="12" priority="8" operator="between">
      <formula>0.9</formula>
      <formula>1</formula>
    </cfRule>
  </conditionalFormatting>
  <conditionalFormatting sqref="F47:F49">
    <cfRule type="cellIs" dxfId="11" priority="9" operator="greaterThan">
      <formula>1</formula>
    </cfRule>
  </conditionalFormatting>
  <conditionalFormatting sqref="F47:F49">
    <cfRule type="cellIs" dxfId="10" priority="10" operator="between">
      <formula>0.9</formula>
      <formula>1</formula>
    </cfRule>
  </conditionalFormatting>
  <conditionalFormatting sqref="F33">
    <cfRule type="cellIs" dxfId="9" priority="11" operator="greaterThan">
      <formula>1</formula>
    </cfRule>
  </conditionalFormatting>
  <conditionalFormatting sqref="F33">
    <cfRule type="cellIs" dxfId="8" priority="12" operator="between">
      <formula>0.9</formula>
      <formula>1</formula>
    </cfRule>
  </conditionalFormatting>
  <conditionalFormatting sqref="F40">
    <cfRule type="cellIs" dxfId="7" priority="13" operator="greaterThan">
      <formula>1</formula>
    </cfRule>
  </conditionalFormatting>
  <conditionalFormatting sqref="F40">
    <cfRule type="cellIs" dxfId="6" priority="14" operator="between">
      <formula>0.9</formula>
      <formula>1</formula>
    </cfRule>
  </conditionalFormatting>
  <conditionalFormatting sqref="F45">
    <cfRule type="cellIs" dxfId="5" priority="15" operator="greaterThan">
      <formula>1</formula>
    </cfRule>
  </conditionalFormatting>
  <conditionalFormatting sqref="F45">
    <cfRule type="cellIs" dxfId="4" priority="16" operator="between">
      <formula>0.9</formula>
      <formula>1</formula>
    </cfRule>
  </conditionalFormatting>
  <conditionalFormatting sqref="F50">
    <cfRule type="cellIs" dxfId="3" priority="17" operator="greaterThan">
      <formula>1</formula>
    </cfRule>
  </conditionalFormatting>
  <conditionalFormatting sqref="F50">
    <cfRule type="cellIs" dxfId="2" priority="18" operator="between">
      <formula>0.9</formula>
      <formula>1</formula>
    </cfRule>
  </conditionalFormatting>
  <conditionalFormatting sqref="F52">
    <cfRule type="cellIs" dxfId="1" priority="19" operator="greaterThan">
      <formula>1</formula>
    </cfRule>
  </conditionalFormatting>
  <conditionalFormatting sqref="F52">
    <cfRule type="cellIs" dxfId="0" priority="20" operator="between">
      <formula>0.9</formula>
      <formula>1</formula>
    </cfRule>
  </conditionalFormatting>
  <dataValidations count="1">
    <dataValidation type="list" allowBlank="1" showInputMessage="1" showErrorMessage="1" sqref="H1" xr:uid="{E9835E39-3B80-4988-A257-448532269DE8}">
      <formula1>MonthList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3206-D02D-9E41-92DE-17080C2C7D43}">
  <dimension ref="A1:E12"/>
  <sheetViews>
    <sheetView zoomScaleNormal="80" zoomScaleSheetLayoutView="100" workbookViewId="0">
      <selection activeCell="D7" sqref="D7"/>
    </sheetView>
  </sheetViews>
  <sheetFormatPr defaultRowHeight="14.5" x14ac:dyDescent="0.35"/>
  <cols>
    <col min="1" max="1" width="36.36328125" customWidth="1"/>
    <col min="2" max="5" width="18.1796875" customWidth="1"/>
  </cols>
  <sheetData>
    <row r="1" spans="1:5" ht="21" x14ac:dyDescent="0.5">
      <c r="A1" s="2" t="s">
        <v>82</v>
      </c>
    </row>
    <row r="3" spans="1:5" x14ac:dyDescent="0.35">
      <c r="A3" s="3" t="s">
        <v>83</v>
      </c>
      <c r="B3" s="5" t="s">
        <v>84</v>
      </c>
      <c r="C3" s="5" t="s">
        <v>85</v>
      </c>
      <c r="D3" s="5" t="s">
        <v>86</v>
      </c>
      <c r="E3" s="5" t="s">
        <v>87</v>
      </c>
    </row>
    <row r="4" spans="1:5" x14ac:dyDescent="0.35">
      <c r="A4" s="8"/>
      <c r="B4" s="9"/>
      <c r="C4" s="9"/>
      <c r="D4" s="10" t="str">
        <f>IF(B4="","",B4-C4)</f>
        <v/>
      </c>
      <c r="E4" s="11" t="str">
        <f>IF(OR(B4="",B4=0),"",C4/B4)</f>
        <v/>
      </c>
    </row>
    <row r="5" spans="1:5" x14ac:dyDescent="0.35">
      <c r="A5" s="8"/>
      <c r="B5" s="9"/>
      <c r="C5" s="9"/>
      <c r="D5" s="10" t="str">
        <f>IF(B5="","",B5-C5)</f>
        <v/>
      </c>
      <c r="E5" s="11" t="str">
        <f>IF(OR(B5="",B5=0),"",C5/B5)</f>
        <v/>
      </c>
    </row>
    <row r="6" spans="1:5" x14ac:dyDescent="0.35">
      <c r="A6" s="8"/>
      <c r="B6" s="9"/>
      <c r="C6" s="9"/>
      <c r="D6" s="10" t="str">
        <f>IF(B6="","",B6-C6)</f>
        <v/>
      </c>
      <c r="E6" s="11" t="str">
        <f>IF(OR(B6="",B6=0),"",C6/B6)</f>
        <v/>
      </c>
    </row>
    <row r="7" spans="1:5" x14ac:dyDescent="0.35">
      <c r="A7" s="8"/>
      <c r="B7" s="9"/>
      <c r="C7" s="9"/>
      <c r="D7" s="10" t="str">
        <f>IF(B7="","",B7-C7)</f>
        <v/>
      </c>
      <c r="E7" s="11" t="str">
        <f>IF(OR(B7="",B7=0),"",C7/B7)</f>
        <v/>
      </c>
    </row>
    <row r="8" spans="1:5" x14ac:dyDescent="0.35">
      <c r="A8" s="12" t="s">
        <v>10</v>
      </c>
      <c r="B8" s="14">
        <f>SUM(B4:B7)</f>
        <v>0</v>
      </c>
      <c r="C8" s="14">
        <f>SUM(C4:C7)</f>
        <v>0</v>
      </c>
      <c r="D8" s="14">
        <f>B8-C8</f>
        <v>0</v>
      </c>
      <c r="E8" s="20">
        <f>IF(B8=0,0,C8/B8)</f>
        <v>0</v>
      </c>
    </row>
    <row r="10" spans="1:5" x14ac:dyDescent="0.35">
      <c r="A10" s="34" t="s">
        <v>88</v>
      </c>
      <c r="B10" s="10">
        <f>Budget!D48</f>
        <v>400</v>
      </c>
    </row>
    <row r="11" spans="1:5" x14ac:dyDescent="0.35">
      <c r="A11" s="34" t="s">
        <v>89</v>
      </c>
      <c r="B11" s="10">
        <f>D8</f>
        <v>0</v>
      </c>
    </row>
    <row r="12" spans="1:5" x14ac:dyDescent="0.35">
      <c r="A12" s="34" t="s">
        <v>90</v>
      </c>
      <c r="B12" s="1" t="str">
        <f>IF(OR(B10=0,B11=0),"—",ROUNDUP(B11/B10,0))</f>
        <v>—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D160-BC52-5B4A-8CBB-1A65185EA216}">
  <dimension ref="A1:B20"/>
  <sheetViews>
    <sheetView zoomScaleNormal="80" zoomScaleSheetLayoutView="100" workbookViewId="0">
      <selection activeCell="B9" sqref="B9"/>
    </sheetView>
  </sheetViews>
  <sheetFormatPr defaultRowHeight="14.5" x14ac:dyDescent="0.35"/>
  <cols>
    <col min="1" max="1" width="47.26953125" customWidth="1"/>
    <col min="2" max="2" width="21.81640625" customWidth="1"/>
  </cols>
  <sheetData>
    <row r="1" spans="1:2" ht="21" x14ac:dyDescent="0.5">
      <c r="A1" s="2" t="s">
        <v>99</v>
      </c>
    </row>
    <row r="3" spans="1:2" ht="15.5" x14ac:dyDescent="0.35">
      <c r="A3" s="30" t="s">
        <v>105</v>
      </c>
      <c r="B3" s="21"/>
    </row>
    <row r="4" spans="1:2" x14ac:dyDescent="0.35">
      <c r="A4" t="s">
        <v>59</v>
      </c>
      <c r="B4" s="10">
        <f>Budget!D47</f>
        <v>800</v>
      </c>
    </row>
    <row r="5" spans="1:2" x14ac:dyDescent="0.35">
      <c r="A5" t="s">
        <v>106</v>
      </c>
      <c r="B5" s="10">
        <f>Budget!D48</f>
        <v>400</v>
      </c>
    </row>
    <row r="6" spans="1:2" x14ac:dyDescent="0.35">
      <c r="A6" t="s">
        <v>107</v>
      </c>
      <c r="B6" s="10">
        <f>Budget!D49</f>
        <v>0</v>
      </c>
    </row>
    <row r="7" spans="1:2" x14ac:dyDescent="0.35">
      <c r="A7" s="12" t="s">
        <v>108</v>
      </c>
      <c r="B7" s="14">
        <f>SUM(B4:B6)</f>
        <v>1200</v>
      </c>
    </row>
    <row r="9" spans="1:2" ht="15.5" x14ac:dyDescent="0.35">
      <c r="A9" s="30" t="s">
        <v>109</v>
      </c>
      <c r="B9" s="5" t="s">
        <v>100</v>
      </c>
    </row>
    <row r="10" spans="1:2" x14ac:dyDescent="0.35">
      <c r="A10" s="8"/>
      <c r="B10" s="9"/>
    </row>
    <row r="11" spans="1:2" x14ac:dyDescent="0.35">
      <c r="A11" s="8"/>
      <c r="B11" s="9"/>
    </row>
    <row r="12" spans="1:2" x14ac:dyDescent="0.35">
      <c r="A12" s="8"/>
      <c r="B12" s="9"/>
    </row>
    <row r="13" spans="1:2" x14ac:dyDescent="0.35">
      <c r="A13" s="8"/>
      <c r="B13" s="9"/>
    </row>
    <row r="14" spans="1:2" x14ac:dyDescent="0.35">
      <c r="A14" s="12" t="s">
        <v>101</v>
      </c>
      <c r="B14" s="14">
        <f>SUM(B10:B13)</f>
        <v>0</v>
      </c>
    </row>
    <row r="15" spans="1:2" x14ac:dyDescent="0.35">
      <c r="A15" s="34" t="s">
        <v>102</v>
      </c>
      <c r="B15" s="35">
        <f>Goals!B8</f>
        <v>0</v>
      </c>
    </row>
    <row r="16" spans="1:2" x14ac:dyDescent="0.35">
      <c r="A16" s="24" t="s">
        <v>103</v>
      </c>
      <c r="B16" s="26">
        <f>B14-B15</f>
        <v>0</v>
      </c>
    </row>
    <row r="18" spans="1:2" ht="15.5" x14ac:dyDescent="0.35">
      <c r="A18" s="30" t="s">
        <v>110</v>
      </c>
      <c r="B18" s="21"/>
    </row>
    <row r="19" spans="1:2" x14ac:dyDescent="0.35">
      <c r="A19" t="s">
        <v>111</v>
      </c>
      <c r="B19" s="15">
        <f>B14+B7*12</f>
        <v>14400</v>
      </c>
    </row>
    <row r="20" spans="1:2" x14ac:dyDescent="0.35">
      <c r="A20" t="s">
        <v>112</v>
      </c>
      <c r="B20" s="15">
        <f>B14+B7*6</f>
        <v>7200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542F-FE67-47B7-AEBC-27D95389D81A}">
  <dimension ref="A1:AZ39"/>
  <sheetViews>
    <sheetView topLeftCell="C4" workbookViewId="0">
      <pane xSplit="1" ySplit="1" topLeftCell="D5" activePane="bottomRight" state="frozen"/>
      <selection activeCell="C4" sqref="C4"/>
      <selection pane="topRight" activeCell="D4" sqref="D4"/>
      <selection pane="bottomLeft" activeCell="C5" sqref="C5"/>
      <selection pane="bottomRight"/>
    </sheetView>
  </sheetViews>
  <sheetFormatPr defaultRowHeight="14.5" x14ac:dyDescent="0.35"/>
  <cols>
    <col min="1" max="1" width="36.36328125" customWidth="1"/>
    <col min="2" max="2" width="15.453125" customWidth="1"/>
    <col min="3" max="6" width="16.36328125" customWidth="1"/>
    <col min="7" max="7" width="17.26953125" customWidth="1"/>
    <col min="8" max="8" width="50.90625" customWidth="1"/>
    <col min="9" max="9" width="17.26953125" customWidth="1"/>
  </cols>
  <sheetData>
    <row r="1" spans="1:52" ht="21" x14ac:dyDescent="0.5">
      <c r="A1" s="2" t="s">
        <v>114</v>
      </c>
      <c r="C1" s="27" t="s">
        <v>129</v>
      </c>
      <c r="D1" s="31" t="s">
        <v>75</v>
      </c>
      <c r="H1" s="1" t="s">
        <v>122</v>
      </c>
      <c r="AZ1" s="40" t="s">
        <v>116</v>
      </c>
    </row>
    <row r="2" spans="1:52" ht="101.5" x14ac:dyDescent="0.35">
      <c r="A2" s="29" t="s">
        <v>115</v>
      </c>
      <c r="C2" s="41" t="s">
        <v>75</v>
      </c>
      <c r="D2" s="36"/>
      <c r="E2" s="42" t="s">
        <v>104</v>
      </c>
      <c r="F2" s="36"/>
      <c r="H2" s="45" t="s">
        <v>123</v>
      </c>
      <c r="AZ2" t="str" cm="1">
        <f t="array" ref="AZ2">IFERROR(IF(INDEX($2:$2, 3+(ROW()-2)*2)=0,"",INDEX($2:$2, 3+(ROW()-2)*2)&amp;""), "")</f>
        <v>Nov 2025</v>
      </c>
    </row>
    <row r="3" spans="1:52" x14ac:dyDescent="0.35">
      <c r="A3" s="3" t="s">
        <v>34</v>
      </c>
      <c r="B3" s="3" t="s">
        <v>35</v>
      </c>
      <c r="C3" s="5" t="s">
        <v>36</v>
      </c>
      <c r="D3" s="5" t="s">
        <v>37</v>
      </c>
      <c r="E3" s="5" t="s">
        <v>36</v>
      </c>
      <c r="F3" s="5" t="s">
        <v>37</v>
      </c>
      <c r="AZ3" t="str" cm="1">
        <f t="array" ref="AZ3">IFERROR(IF(INDEX($2:$2, 3+(ROW()-2)*2)=0,"",INDEX($2:$2, 3+(ROW()-2)*2)&amp;""), "")</f>
        <v>May 2026</v>
      </c>
    </row>
    <row r="4" spans="1:52" x14ac:dyDescent="0.35">
      <c r="A4" s="37" t="s">
        <v>41</v>
      </c>
      <c r="B4" s="37" t="s">
        <v>42</v>
      </c>
      <c r="C4" s="10">
        <v>4200</v>
      </c>
      <c r="D4" s="10">
        <v>4200</v>
      </c>
      <c r="E4" s="44">
        <f>IFERROR(VLOOKUP($A4,Budget!$A$5:$D$49,3,FALSE),0)</f>
        <v>4200</v>
      </c>
      <c r="F4" s="44">
        <f>IFERROR(VLOOKUP($A4,Budget!$A$5:$D$49,4,FALSE),0)</f>
        <v>4200</v>
      </c>
      <c r="AZ4" t="str" cm="1">
        <f t="array" ref="AZ4">IFERROR(IF(INDEX($2:$2, 3+(ROW()-2)*2)=0,"",INDEX($2:$2, 3+(ROW()-2)*2)&amp;""), "")</f>
        <v/>
      </c>
    </row>
    <row r="5" spans="1:52" x14ac:dyDescent="0.35">
      <c r="A5" s="37" t="s">
        <v>43</v>
      </c>
      <c r="B5" s="37" t="s">
        <v>42</v>
      </c>
      <c r="C5" s="10">
        <v>4350</v>
      </c>
      <c r="D5" s="10">
        <v>4350</v>
      </c>
      <c r="E5" s="44">
        <f>IFERROR(VLOOKUP($A5,Budget!$A$5:$D$49,3,FALSE),0)</f>
        <v>4350</v>
      </c>
      <c r="F5" s="44">
        <f>IFERROR(VLOOKUP($A5,Budget!$A$5:$D$49,4,FALSE),0)</f>
        <v>4350</v>
      </c>
      <c r="AZ5" t="str" cm="1">
        <f t="array" ref="AZ5">IFERROR(IF(INDEX($2:$2, 3+(ROW()-2)*2)=0,"",INDEX($2:$2, 3+(ROW()-2)*2)&amp;""), "")</f>
        <v/>
      </c>
    </row>
    <row r="6" spans="1:52" x14ac:dyDescent="0.35">
      <c r="A6" s="37" t="s">
        <v>44</v>
      </c>
      <c r="B6" s="37" t="s">
        <v>42</v>
      </c>
      <c r="C6" s="10">
        <v>0</v>
      </c>
      <c r="D6" s="10">
        <v>0</v>
      </c>
      <c r="E6" s="44">
        <f>IFERROR(VLOOKUP($A6,Budget!$A$5:$D$49,3,FALSE),0)</f>
        <v>0</v>
      </c>
      <c r="F6" s="44">
        <f>IFERROR(VLOOKUP($A6,Budget!$A$5:$D$49,4,FALSE),0)</f>
        <v>0</v>
      </c>
      <c r="AZ6" t="str" cm="1">
        <f t="array" ref="AZ6">IFERROR(IF(INDEX($2:$2, 3+(ROW()-2)*2)=0,"",INDEX($2:$2, 3+(ROW()-2)*2)&amp;""), "")</f>
        <v/>
      </c>
    </row>
    <row r="7" spans="1:52" x14ac:dyDescent="0.35">
      <c r="A7" s="25" t="s">
        <v>0</v>
      </c>
      <c r="B7" s="25" t="s">
        <v>47</v>
      </c>
      <c r="C7" s="10">
        <v>2200</v>
      </c>
      <c r="D7" s="10">
        <v>2200</v>
      </c>
      <c r="E7" s="44">
        <f>IFERROR(VLOOKUP($A7,Budget!$A$5:$D$49,3,FALSE),0)</f>
        <v>2200</v>
      </c>
      <c r="F7" s="44">
        <f>IFERROR(VLOOKUP($A7,Budget!$A$5:$D$49,4,FALSE),0)</f>
        <v>2200</v>
      </c>
      <c r="AZ7" t="str" cm="1">
        <f t="array" ref="AZ7">IFERROR(IF(INDEX($2:$2, 3+(ROW()-2)*2)=0,"",INDEX($2:$2, 3+(ROW()-2)*2)&amp;""), "")</f>
        <v/>
      </c>
    </row>
    <row r="8" spans="1:52" x14ac:dyDescent="0.35">
      <c r="A8" s="25" t="s">
        <v>26</v>
      </c>
      <c r="B8" s="25" t="s">
        <v>47</v>
      </c>
      <c r="C8" s="10">
        <v>162</v>
      </c>
      <c r="D8" s="10">
        <v>162</v>
      </c>
      <c r="E8" s="44">
        <f>IFERROR(VLOOKUP($A8,Budget!$A$5:$D$49,3,FALSE),0)</f>
        <v>162</v>
      </c>
      <c r="F8" s="44">
        <f>IFERROR(VLOOKUP($A8,Budget!$A$5:$D$49,4,FALSE),0)</f>
        <v>162</v>
      </c>
      <c r="AZ8" t="str" cm="1">
        <f t="array" ref="AZ8">IFERROR(IF(INDEX($2:$2, 3+(ROW()-2)*2)=0,"",INDEX($2:$2, 3+(ROW()-2)*2)&amp;""), "")</f>
        <v/>
      </c>
    </row>
    <row r="9" spans="1:52" x14ac:dyDescent="0.35">
      <c r="A9" s="25" t="s">
        <v>30</v>
      </c>
      <c r="B9" s="25" t="s">
        <v>47</v>
      </c>
      <c r="C9" s="10">
        <v>1122</v>
      </c>
      <c r="D9" s="10">
        <v>1122</v>
      </c>
      <c r="E9" s="44">
        <f>IFERROR(VLOOKUP($A9,Budget!$A$5:$D$49,3,FALSE),0)</f>
        <v>1122</v>
      </c>
      <c r="F9" s="44">
        <f>IFERROR(VLOOKUP($A9,Budget!$A$5:$D$49,4,FALSE),0)</f>
        <v>1122</v>
      </c>
      <c r="AZ9" t="str" cm="1">
        <f t="array" ref="AZ9">IFERROR(IF(INDEX($2:$2, 3+(ROW()-2)*2)=0,"",INDEX($2:$2, 3+(ROW()-2)*2)&amp;""), "")</f>
        <v/>
      </c>
    </row>
    <row r="10" spans="1:52" x14ac:dyDescent="0.35">
      <c r="A10" s="25" t="s">
        <v>31</v>
      </c>
      <c r="B10" s="25" t="s">
        <v>47</v>
      </c>
      <c r="C10" s="17">
        <v>16.5</v>
      </c>
      <c r="D10" s="17">
        <v>16.5</v>
      </c>
      <c r="E10" s="44">
        <f>IFERROR(VLOOKUP($A10,Budget!$A$5:$D$49,3,FALSE),0)</f>
        <v>16.5</v>
      </c>
      <c r="F10" s="44">
        <f>IFERROR(VLOOKUP($A10,Budget!$A$5:$D$49,4,FALSE),0)</f>
        <v>16.5</v>
      </c>
      <c r="AZ10" t="str" cm="1">
        <f t="array" ref="AZ10">IFERROR(IF(INDEX($2:$2, 3+(ROW()-2)*2)=0,"",INDEX($2:$2, 3+(ROW()-2)*2)&amp;""), "")</f>
        <v/>
      </c>
    </row>
    <row r="11" spans="1:52" x14ac:dyDescent="0.35">
      <c r="A11" s="25" t="s">
        <v>1</v>
      </c>
      <c r="B11" s="25" t="s">
        <v>47</v>
      </c>
      <c r="C11" s="10">
        <v>91</v>
      </c>
      <c r="D11" s="10">
        <v>91</v>
      </c>
      <c r="E11" s="44">
        <f>IFERROR(VLOOKUP($A11,Budget!$A$5:$D$49,3,FALSE),0)</f>
        <v>91</v>
      </c>
      <c r="F11" s="44">
        <f>IFERROR(VLOOKUP($A11,Budget!$A$5:$D$49,4,FALSE),0)</f>
        <v>91</v>
      </c>
      <c r="AZ11" t="str" cm="1">
        <f t="array" ref="AZ11">IFERROR(IF(INDEX($2:$2, 3+(ROW()-2)*2)=0,"",INDEX($2:$2, 3+(ROW()-2)*2)&amp;""), "")</f>
        <v/>
      </c>
    </row>
    <row r="12" spans="1:52" x14ac:dyDescent="0.35">
      <c r="A12" s="25" t="s">
        <v>2</v>
      </c>
      <c r="B12" s="25" t="s">
        <v>47</v>
      </c>
      <c r="C12" s="10">
        <v>15</v>
      </c>
      <c r="D12" s="10">
        <v>15</v>
      </c>
      <c r="E12" s="44">
        <f>IFERROR(VLOOKUP($A12,Budget!$A$5:$D$49,3,FALSE),0)</f>
        <v>15</v>
      </c>
      <c r="F12" s="44">
        <f>IFERROR(VLOOKUP($A12,Budget!$A$5:$D$49,4,FALSE),0)</f>
        <v>15</v>
      </c>
      <c r="AZ12" t="str" cm="1">
        <f t="array" ref="AZ12">IFERROR(IF(INDEX($2:$2, 3+(ROW()-2)*2)=0,"",INDEX($2:$2, 3+(ROW()-2)*2)&amp;""), "")</f>
        <v/>
      </c>
    </row>
    <row r="13" spans="1:52" x14ac:dyDescent="0.35">
      <c r="A13" s="25" t="s">
        <v>3</v>
      </c>
      <c r="B13" s="25" t="s">
        <v>47</v>
      </c>
      <c r="C13" s="10">
        <v>0</v>
      </c>
      <c r="D13" s="10">
        <v>0</v>
      </c>
      <c r="E13" s="44">
        <f>IFERROR(VLOOKUP($A13,Budget!$A$5:$D$49,3,FALSE),0)</f>
        <v>0</v>
      </c>
      <c r="F13" s="44">
        <f>IFERROR(VLOOKUP($A13,Budget!$A$5:$D$49,4,FALSE),0)</f>
        <v>0</v>
      </c>
      <c r="AZ13" t="str" cm="1">
        <f t="array" ref="AZ13">IFERROR(IF(INDEX($2:$2, 3+(ROW()-2)*2)=0,"",INDEX($2:$2, 3+(ROW()-2)*2)&amp;""), "")</f>
        <v/>
      </c>
    </row>
    <row r="14" spans="1:52" x14ac:dyDescent="0.35">
      <c r="A14" s="25" t="s">
        <v>48</v>
      </c>
      <c r="B14" s="25" t="s">
        <v>47</v>
      </c>
      <c r="C14" s="17">
        <v>72.739999999999995</v>
      </c>
      <c r="D14" s="17">
        <v>72.739999999999995</v>
      </c>
      <c r="E14" s="44">
        <f>IFERROR(VLOOKUP($A14,Budget!$A$5:$D$49,3,FALSE),0)</f>
        <v>72.739999999999995</v>
      </c>
      <c r="F14" s="44">
        <f>IFERROR(VLOOKUP($A14,Budget!$A$5:$D$49,4,FALSE),0)</f>
        <v>72.739999999999995</v>
      </c>
      <c r="AZ14" t="str" cm="1">
        <f t="array" ref="AZ14">IFERROR(IF(INDEX($2:$2, 3+(ROW()-2)*2)=0,"",INDEX($2:$2, 3+(ROW()-2)*2)&amp;""), "")</f>
        <v/>
      </c>
    </row>
    <row r="15" spans="1:52" x14ac:dyDescent="0.35">
      <c r="A15" s="25" t="s">
        <v>32</v>
      </c>
      <c r="B15" s="25" t="s">
        <v>47</v>
      </c>
      <c r="C15" s="17">
        <v>53.72</v>
      </c>
      <c r="D15" s="17">
        <v>53.72</v>
      </c>
      <c r="E15" s="44">
        <f>IFERROR(VLOOKUP($A15,Budget!$A$5:$D$49,3,FALSE),0)</f>
        <v>53.72</v>
      </c>
      <c r="F15" s="44">
        <f>IFERROR(VLOOKUP($A15,Budget!$A$5:$D$49,4,FALSE),0)</f>
        <v>53.72</v>
      </c>
      <c r="AZ15" t="str" cm="1">
        <f t="array" ref="AZ15">IFERROR(IF(INDEX($2:$2, 3+(ROW()-2)*2)=0,"",INDEX($2:$2, 3+(ROW()-2)*2)&amp;""), "")</f>
        <v/>
      </c>
    </row>
    <row r="16" spans="1:52" x14ac:dyDescent="0.35">
      <c r="A16" s="25" t="s">
        <v>49</v>
      </c>
      <c r="B16" s="25" t="s">
        <v>47</v>
      </c>
      <c r="C16" s="10">
        <v>90</v>
      </c>
      <c r="D16" s="10">
        <v>90</v>
      </c>
      <c r="E16" s="44">
        <f>IFERROR(VLOOKUP($A16,Budget!$A$5:$D$49,3,FALSE),0)</f>
        <v>90</v>
      </c>
      <c r="F16" s="44">
        <f>IFERROR(VLOOKUP($A16,Budget!$A$5:$D$49,4,FALSE),0)</f>
        <v>90</v>
      </c>
      <c r="AZ16" t="str" cm="1">
        <f t="array" ref="AZ16">IFERROR(IF(INDEX($2:$2, 3+(ROW()-2)*2)=0,"",INDEX($2:$2, 3+(ROW()-2)*2)&amp;""), "")</f>
        <v/>
      </c>
    </row>
    <row r="17" spans="1:52" x14ac:dyDescent="0.35">
      <c r="A17" s="25" t="s">
        <v>4</v>
      </c>
      <c r="B17" s="25" t="s">
        <v>47</v>
      </c>
      <c r="C17" s="10">
        <v>334</v>
      </c>
      <c r="D17" s="10">
        <v>334</v>
      </c>
      <c r="E17" s="44">
        <f>IFERROR(VLOOKUP($A17,Budget!$A$5:$D$49,3,FALSE),0)</f>
        <v>334</v>
      </c>
      <c r="F17" s="44">
        <f>IFERROR(VLOOKUP($A17,Budget!$A$5:$D$49,4,FALSE),0)</f>
        <v>334</v>
      </c>
      <c r="AZ17" t="str" cm="1">
        <f t="array" ref="AZ17">IFERROR(IF(INDEX($2:$2, 3+(ROW()-2)*2)=0,"",INDEX($2:$2, 3+(ROW()-2)*2)&amp;""), "")</f>
        <v/>
      </c>
    </row>
    <row r="18" spans="1:52" x14ac:dyDescent="0.35">
      <c r="A18" s="25" t="s">
        <v>5</v>
      </c>
      <c r="B18" s="25" t="s">
        <v>47</v>
      </c>
      <c r="C18" s="10">
        <v>66</v>
      </c>
      <c r="D18" s="10">
        <v>66</v>
      </c>
      <c r="E18" s="44">
        <f>IFERROR(VLOOKUP($A18,Budget!$A$5:$D$49,3,FALSE),0)</f>
        <v>66</v>
      </c>
      <c r="F18" s="44">
        <f>IFERROR(VLOOKUP($A18,Budget!$A$5:$D$49,4,FALSE),0)</f>
        <v>66</v>
      </c>
      <c r="AZ18" t="str" cm="1">
        <f t="array" ref="AZ18">IFERROR(IF(INDEX($2:$2, 3+(ROW()-2)*2)=0,"",INDEX($2:$2, 3+(ROW()-2)*2)&amp;""), "")</f>
        <v/>
      </c>
    </row>
    <row r="19" spans="1:52" x14ac:dyDescent="0.35">
      <c r="A19" s="25" t="s">
        <v>50</v>
      </c>
      <c r="B19" s="25" t="s">
        <v>47</v>
      </c>
      <c r="C19" s="10">
        <v>35</v>
      </c>
      <c r="D19" s="10">
        <v>35</v>
      </c>
      <c r="E19" s="44">
        <f>IFERROR(VLOOKUP($A19,Budget!$A$5:$D$49,3,FALSE),0)</f>
        <v>35</v>
      </c>
      <c r="F19" s="44">
        <f>IFERROR(VLOOKUP($A19,Budget!$A$5:$D$49,4,FALSE),0)</f>
        <v>35</v>
      </c>
      <c r="AZ19" t="str" cm="1">
        <f t="array" ref="AZ19">IFERROR(IF(INDEX($2:$2, 3+(ROW()-2)*2)=0,"",INDEX($2:$2, 3+(ROW()-2)*2)&amp;""), "")</f>
        <v/>
      </c>
    </row>
    <row r="20" spans="1:52" x14ac:dyDescent="0.35">
      <c r="A20" s="25" t="s">
        <v>15</v>
      </c>
      <c r="B20" s="25" t="s">
        <v>47</v>
      </c>
      <c r="C20" s="10">
        <v>5</v>
      </c>
      <c r="D20" s="10">
        <v>5</v>
      </c>
      <c r="E20" s="44">
        <f>IFERROR(VLOOKUP($A20,Budget!$A$5:$D$49,3,FALSE),0)</f>
        <v>5</v>
      </c>
      <c r="F20" s="44">
        <f>IFERROR(VLOOKUP($A20,Budget!$A$5:$D$49,4,FALSE),0)</f>
        <v>5</v>
      </c>
      <c r="AZ20" t="str" cm="1">
        <f t="array" ref="AZ20">IFERROR(IF(INDEX($2:$2, 3+(ROW()-2)*2)=0,"",INDEX($2:$2, 3+(ROW()-2)*2)&amp;""), "")</f>
        <v/>
      </c>
    </row>
    <row r="21" spans="1:52" x14ac:dyDescent="0.35">
      <c r="A21" s="25" t="s">
        <v>51</v>
      </c>
      <c r="B21" s="25" t="s">
        <v>47</v>
      </c>
      <c r="C21" s="17">
        <v>43.75</v>
      </c>
      <c r="D21" s="17">
        <v>43.75</v>
      </c>
      <c r="E21" s="44">
        <f>IFERROR(VLOOKUP($A21,Budget!$A$5:$D$49,3,FALSE),0)</f>
        <v>43.75</v>
      </c>
      <c r="F21" s="44">
        <f>IFERROR(VLOOKUP($A21,Budget!$A$5:$D$49,4,FALSE),0)</f>
        <v>43.75</v>
      </c>
      <c r="AZ21" t="str" cm="1">
        <f t="array" ref="AZ21">IFERROR(IF(INDEX($2:$2, 3+(ROW()-2)*2)=0,"",INDEX($2:$2, 3+(ROW()-2)*2)&amp;""), "")</f>
        <v/>
      </c>
    </row>
    <row r="22" spans="1:52" x14ac:dyDescent="0.35">
      <c r="A22" s="25" t="s">
        <v>28</v>
      </c>
      <c r="B22" s="25" t="s">
        <v>47</v>
      </c>
      <c r="C22" s="10">
        <v>651</v>
      </c>
      <c r="D22" s="10">
        <v>651</v>
      </c>
      <c r="E22" s="44">
        <f>IFERROR(VLOOKUP($A22,Budget!$A$5:$D$49,3,FALSE),0)</f>
        <v>651</v>
      </c>
      <c r="F22" s="44">
        <f>IFERROR(VLOOKUP($A22,Budget!$A$5:$D$49,4,FALSE),0)</f>
        <v>651</v>
      </c>
      <c r="AZ22" t="str" cm="1">
        <f t="array" ref="AZ22">IFERROR(IF(INDEX($2:$2, 3+(ROW()-2)*2)=0,"",INDEX($2:$2, 3+(ROW()-2)*2)&amp;""), "")</f>
        <v/>
      </c>
    </row>
    <row r="23" spans="1:52" x14ac:dyDescent="0.35">
      <c r="A23" s="25" t="s">
        <v>27</v>
      </c>
      <c r="B23" s="25" t="s">
        <v>47</v>
      </c>
      <c r="C23" s="10">
        <v>34</v>
      </c>
      <c r="D23" s="10">
        <v>34</v>
      </c>
      <c r="E23" s="44">
        <f>IFERROR(VLOOKUP($A23,Budget!$A$5:$D$49,3,FALSE),0)</f>
        <v>34</v>
      </c>
      <c r="F23" s="44">
        <f>IFERROR(VLOOKUP($A23,Budget!$A$5:$D$49,4,FALSE),0)</f>
        <v>34</v>
      </c>
      <c r="AZ23" t="str" cm="1">
        <f t="array" ref="AZ23">IFERROR(IF(INDEX($2:$2, 3+(ROW()-2)*2)=0,"",INDEX($2:$2, 3+(ROW()-2)*2)&amp;""), "")</f>
        <v/>
      </c>
    </row>
    <row r="24" spans="1:52" x14ac:dyDescent="0.35">
      <c r="A24" s="25" t="s">
        <v>6</v>
      </c>
      <c r="B24" s="25" t="s">
        <v>47</v>
      </c>
      <c r="C24" s="10">
        <v>12</v>
      </c>
      <c r="D24" s="10">
        <v>12</v>
      </c>
      <c r="E24" s="44">
        <f>IFERROR(VLOOKUP($A24,Budget!$A$5:$D$49,3,FALSE),0)</f>
        <v>12</v>
      </c>
      <c r="F24" s="44">
        <f>IFERROR(VLOOKUP($A24,Budget!$A$5:$D$49,4,FALSE),0)</f>
        <v>12</v>
      </c>
      <c r="AZ24" t="str" cm="1">
        <f t="array" ref="AZ24">IFERROR(IF(INDEX($2:$2, 3+(ROW()-2)*2)=0,"",INDEX($2:$2, 3+(ROW()-2)*2)&amp;""), "")</f>
        <v/>
      </c>
    </row>
    <row r="25" spans="1:52" x14ac:dyDescent="0.35">
      <c r="A25" s="25" t="s">
        <v>29</v>
      </c>
      <c r="B25" s="25" t="s">
        <v>47</v>
      </c>
      <c r="C25" s="10">
        <v>55</v>
      </c>
      <c r="D25" s="10">
        <v>55</v>
      </c>
      <c r="E25" s="44">
        <f>IFERROR(VLOOKUP($A25,Budget!$A$5:$D$49,3,FALSE),0)</f>
        <v>55</v>
      </c>
      <c r="F25" s="44">
        <f>IFERROR(VLOOKUP($A25,Budget!$A$5:$D$49,4,FALSE),0)</f>
        <v>55</v>
      </c>
      <c r="AZ25" t="str" cm="1">
        <f t="array" ref="AZ25">IFERROR(IF(INDEX($2:$2, 3+(ROW()-2)*2)=0,"",INDEX($2:$2, 3+(ROW()-2)*2)&amp;""), "")</f>
        <v/>
      </c>
    </row>
    <row r="26" spans="1:52" x14ac:dyDescent="0.35">
      <c r="A26" s="25" t="s">
        <v>7</v>
      </c>
      <c r="B26" s="25" t="s">
        <v>47</v>
      </c>
      <c r="C26" s="10">
        <v>15</v>
      </c>
      <c r="D26" s="10">
        <v>15</v>
      </c>
      <c r="E26" s="44">
        <f>IFERROR(VLOOKUP($A26,Budget!$A$5:$D$49,3,FALSE),0)</f>
        <v>15</v>
      </c>
      <c r="F26" s="44">
        <f>IFERROR(VLOOKUP($A26,Budget!$A$5:$D$49,4,FALSE),0)</f>
        <v>15</v>
      </c>
    </row>
    <row r="27" spans="1:52" x14ac:dyDescent="0.35">
      <c r="A27" s="25" t="s">
        <v>16</v>
      </c>
      <c r="B27" s="25" t="s">
        <v>47</v>
      </c>
      <c r="C27" s="10">
        <v>20</v>
      </c>
      <c r="D27" s="10">
        <v>20</v>
      </c>
      <c r="E27" s="44">
        <f>IFERROR(VLOOKUP($A27,Budget!$A$5:$D$49,3,FALSE),0)</f>
        <v>20</v>
      </c>
      <c r="F27" s="44">
        <f>IFERROR(VLOOKUP($A27,Budget!$A$5:$D$49,4,FALSE),0)</f>
        <v>20</v>
      </c>
    </row>
    <row r="28" spans="1:52" x14ac:dyDescent="0.35">
      <c r="A28" s="25" t="s">
        <v>18</v>
      </c>
      <c r="B28" s="25" t="s">
        <v>47</v>
      </c>
      <c r="C28" s="17">
        <v>426.42</v>
      </c>
      <c r="D28" s="17">
        <v>426.42</v>
      </c>
      <c r="E28" s="44">
        <f>IFERROR(VLOOKUP($A28,Budget!$A$5:$D$49,3,FALSE),0)</f>
        <v>426.42</v>
      </c>
      <c r="F28" s="44">
        <f>IFERROR(VLOOKUP($A28,Budget!$A$5:$D$49,4,FALSE),0)</f>
        <v>426.42</v>
      </c>
    </row>
    <row r="29" spans="1:52" x14ac:dyDescent="0.35">
      <c r="A29" s="33" t="s">
        <v>11</v>
      </c>
      <c r="B29" s="33" t="s">
        <v>53</v>
      </c>
      <c r="C29" s="10">
        <v>600</v>
      </c>
      <c r="D29" s="10">
        <v>600</v>
      </c>
      <c r="E29" s="44">
        <f>IFERROR(VLOOKUP($A29,Budget!$A$5:$D$49,3,FALSE),0)</f>
        <v>600</v>
      </c>
      <c r="F29" s="44">
        <f>IFERROR(VLOOKUP($A29,Budget!$A$5:$D$49,4,FALSE),0)</f>
        <v>600</v>
      </c>
    </row>
    <row r="30" spans="1:52" x14ac:dyDescent="0.35">
      <c r="A30" s="33" t="s">
        <v>12</v>
      </c>
      <c r="B30" s="33" t="s">
        <v>53</v>
      </c>
      <c r="C30" s="10">
        <v>100</v>
      </c>
      <c r="D30" s="10">
        <v>100</v>
      </c>
      <c r="E30" s="44">
        <f>IFERROR(VLOOKUP($A30,Budget!$A$5:$D$49,3,FALSE),0)</f>
        <v>100</v>
      </c>
      <c r="F30" s="44">
        <f>IFERROR(VLOOKUP($A30,Budget!$A$5:$D$49,4,FALSE),0)</f>
        <v>100</v>
      </c>
    </row>
    <row r="31" spans="1:52" x14ac:dyDescent="0.35">
      <c r="A31" s="33" t="s">
        <v>13</v>
      </c>
      <c r="B31" s="33" t="s">
        <v>53</v>
      </c>
      <c r="C31" s="10">
        <v>70</v>
      </c>
      <c r="D31" s="10">
        <v>70</v>
      </c>
      <c r="E31" s="44">
        <f>IFERROR(VLOOKUP($A31,Budget!$A$5:$D$49,3,FALSE),0)</f>
        <v>70</v>
      </c>
      <c r="F31" s="44">
        <f>IFERROR(VLOOKUP($A31,Budget!$A$5:$D$49,4,FALSE),0)</f>
        <v>70</v>
      </c>
    </row>
    <row r="32" spans="1:52" x14ac:dyDescent="0.35">
      <c r="A32" s="33" t="s">
        <v>14</v>
      </c>
      <c r="B32" s="33" t="s">
        <v>53</v>
      </c>
      <c r="C32" s="10">
        <v>600</v>
      </c>
      <c r="D32" s="10">
        <v>600</v>
      </c>
      <c r="E32" s="44">
        <f>IFERROR(VLOOKUP($A32,Budget!$A$5:$D$49,3,FALSE),0)</f>
        <v>600</v>
      </c>
      <c r="F32" s="44">
        <f>IFERROR(VLOOKUP($A32,Budget!$A$5:$D$49,4,FALSE),0)</f>
        <v>600</v>
      </c>
    </row>
    <row r="33" spans="1:6" x14ac:dyDescent="0.35">
      <c r="A33" s="33" t="s">
        <v>54</v>
      </c>
      <c r="B33" s="33" t="s">
        <v>53</v>
      </c>
      <c r="C33" s="10">
        <v>100</v>
      </c>
      <c r="D33" s="10">
        <v>100</v>
      </c>
      <c r="E33" s="44">
        <f>IFERROR(VLOOKUP($A33,Budget!$A$5:$D$49,3,FALSE),0)</f>
        <v>100</v>
      </c>
      <c r="F33" s="44">
        <f>IFERROR(VLOOKUP($A33,Budget!$A$5:$D$49,4,FALSE),0)</f>
        <v>100</v>
      </c>
    </row>
    <row r="34" spans="1:6" x14ac:dyDescent="0.35">
      <c r="A34" s="38" t="s">
        <v>8</v>
      </c>
      <c r="B34" s="38" t="s">
        <v>56</v>
      </c>
      <c r="C34" s="10">
        <v>100</v>
      </c>
      <c r="D34" s="10">
        <v>100</v>
      </c>
      <c r="E34" s="44">
        <f>IFERROR(VLOOKUP($A34,Budget!$A$5:$D$49,3,FALSE),0)</f>
        <v>100</v>
      </c>
      <c r="F34" s="44">
        <f>IFERROR(VLOOKUP($A34,Budget!$A$5:$D$49,4,FALSE),0)</f>
        <v>100</v>
      </c>
    </row>
    <row r="35" spans="1:6" x14ac:dyDescent="0.35">
      <c r="A35" s="38" t="s">
        <v>57</v>
      </c>
      <c r="B35" s="38" t="s">
        <v>56</v>
      </c>
      <c r="C35" s="17">
        <v>128.30000000000001</v>
      </c>
      <c r="D35" s="17">
        <v>128.30000000000001</v>
      </c>
      <c r="E35" s="44">
        <f>IFERROR(VLOOKUP($A35,Budget!$A$5:$D$49,3,FALSE),0)</f>
        <v>128.30000000000001</v>
      </c>
      <c r="F35" s="44">
        <f>IFERROR(VLOOKUP($A35,Budget!$A$5:$D$49,4,FALSE),0)</f>
        <v>128.30000000000001</v>
      </c>
    </row>
    <row r="36" spans="1:6" x14ac:dyDescent="0.35">
      <c r="A36" s="38" t="s">
        <v>9</v>
      </c>
      <c r="B36" s="38" t="s">
        <v>56</v>
      </c>
      <c r="C36" s="17">
        <v>32.5</v>
      </c>
      <c r="D36" s="17">
        <v>32.5</v>
      </c>
      <c r="E36" s="44">
        <f>IFERROR(VLOOKUP($A36,Budget!$A$5:$D$49,3,FALSE),0)</f>
        <v>32.5</v>
      </c>
      <c r="F36" s="44">
        <f>IFERROR(VLOOKUP($A36,Budget!$A$5:$D$49,4,FALSE),0)</f>
        <v>32.5</v>
      </c>
    </row>
    <row r="37" spans="1:6" x14ac:dyDescent="0.35">
      <c r="A37" s="39" t="s">
        <v>59</v>
      </c>
      <c r="B37" s="39" t="s">
        <v>17</v>
      </c>
      <c r="C37" s="10">
        <v>800</v>
      </c>
      <c r="D37" s="10">
        <v>800</v>
      </c>
      <c r="E37" s="44">
        <f>IFERROR(VLOOKUP($A37,Budget!$A$5:$D$49,3,FALSE),0)</f>
        <v>800</v>
      </c>
      <c r="F37" s="44">
        <f>IFERROR(VLOOKUP($A37,Budget!$A$5:$D$49,4,FALSE),0)</f>
        <v>800</v>
      </c>
    </row>
    <row r="38" spans="1:6" x14ac:dyDescent="0.35">
      <c r="A38" s="39" t="s">
        <v>113</v>
      </c>
      <c r="B38" s="39" t="s">
        <v>17</v>
      </c>
      <c r="C38" s="10">
        <v>400</v>
      </c>
      <c r="D38" s="10">
        <v>400</v>
      </c>
      <c r="E38" s="44">
        <f>IFERROR(VLOOKUP($A38,Budget!$A$5:$D$49,3,FALSE),0)</f>
        <v>400</v>
      </c>
      <c r="F38" s="44">
        <f>IFERROR(VLOOKUP($A38,Budget!$A$5:$D$49,4,FALSE),0)</f>
        <v>400</v>
      </c>
    </row>
    <row r="39" spans="1:6" x14ac:dyDescent="0.35">
      <c r="A39" s="39" t="s">
        <v>60</v>
      </c>
      <c r="B39" s="39" t="s">
        <v>17</v>
      </c>
      <c r="C39" s="10">
        <v>0</v>
      </c>
      <c r="D39" s="10">
        <v>0</v>
      </c>
      <c r="E39" s="44">
        <f>IFERROR(VLOOKUP($A39,Budget!$A$5:$D$49,3,FALSE),0)</f>
        <v>0</v>
      </c>
      <c r="F39" s="44">
        <f>IFERROR(VLOOKUP($A39,Budget!$A$5:$D$49,4,FALSE),0)</f>
        <v>0</v>
      </c>
    </row>
  </sheetData>
  <mergeCells count="2">
    <mergeCell ref="C2:D2"/>
    <mergeCell ref="E2:F2"/>
  </mergeCells>
  <dataValidations count="1">
    <dataValidation type="list" allowBlank="1" showInputMessage="1" showErrorMessage="1" sqref="D1" xr:uid="{95123315-3371-40CA-9342-0FFB9731D4A8}">
      <formula1>MonthList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B01D-F950-C143-8E1B-2E01832AB22B}">
  <dimension ref="A1:D15"/>
  <sheetViews>
    <sheetView zoomScaleNormal="80" zoomScaleSheetLayoutView="100" workbookViewId="0">
      <selection activeCell="D16" sqref="D16"/>
    </sheetView>
  </sheetViews>
  <sheetFormatPr defaultRowHeight="14.5" x14ac:dyDescent="0.35"/>
  <cols>
    <col min="1" max="1" width="30.90625" customWidth="1"/>
    <col min="2" max="4" width="18.1796875" customWidth="1"/>
  </cols>
  <sheetData>
    <row r="1" spans="1:4" ht="21" x14ac:dyDescent="0.5">
      <c r="A1" s="2" t="s">
        <v>19</v>
      </c>
    </row>
    <row r="3" spans="1:4" x14ac:dyDescent="0.35">
      <c r="A3" s="3" t="s">
        <v>91</v>
      </c>
      <c r="B3" s="5" t="s">
        <v>92</v>
      </c>
      <c r="C3" s="5" t="s">
        <v>93</v>
      </c>
      <c r="D3" s="5" t="s">
        <v>94</v>
      </c>
    </row>
    <row r="4" spans="1:4" x14ac:dyDescent="0.35">
      <c r="A4" t="s">
        <v>20</v>
      </c>
      <c r="B4" s="9">
        <v>0</v>
      </c>
      <c r="C4" s="9">
        <v>0</v>
      </c>
      <c r="D4" s="10">
        <f>B4-C4</f>
        <v>0</v>
      </c>
    </row>
    <row r="5" spans="1:4" x14ac:dyDescent="0.35">
      <c r="A5" t="s">
        <v>21</v>
      </c>
      <c r="B5" s="9">
        <v>994</v>
      </c>
      <c r="C5" s="9">
        <v>994</v>
      </c>
      <c r="D5" s="10">
        <f>B5-C5</f>
        <v>0</v>
      </c>
    </row>
    <row r="6" spans="1:4" x14ac:dyDescent="0.35">
      <c r="A6" t="s">
        <v>95</v>
      </c>
      <c r="B6" s="9">
        <v>284</v>
      </c>
      <c r="C6" s="9">
        <v>0</v>
      </c>
      <c r="D6" s="10">
        <f>B6-C6</f>
        <v>284</v>
      </c>
    </row>
    <row r="7" spans="1:4" x14ac:dyDescent="0.35">
      <c r="A7" t="s">
        <v>22</v>
      </c>
      <c r="B7" s="9">
        <v>200</v>
      </c>
      <c r="C7" s="9">
        <v>0</v>
      </c>
      <c r="D7" s="10">
        <f>B7-C7</f>
        <v>200</v>
      </c>
    </row>
    <row r="8" spans="1:4" x14ac:dyDescent="0.35">
      <c r="A8" t="s">
        <v>96</v>
      </c>
      <c r="B8" s="9">
        <v>120</v>
      </c>
      <c r="C8" s="9">
        <v>0</v>
      </c>
      <c r="D8" s="10">
        <f>B8-C8</f>
        <v>120</v>
      </c>
    </row>
    <row r="9" spans="1:4" x14ac:dyDescent="0.35">
      <c r="A9" t="s">
        <v>23</v>
      </c>
      <c r="B9" s="9">
        <v>120</v>
      </c>
      <c r="C9" s="9">
        <v>0</v>
      </c>
      <c r="D9" s="10">
        <f>B9-C9</f>
        <v>120</v>
      </c>
    </row>
    <row r="10" spans="1:4" x14ac:dyDescent="0.35">
      <c r="A10" t="s">
        <v>97</v>
      </c>
      <c r="B10" s="9">
        <v>250</v>
      </c>
      <c r="C10" s="9">
        <v>0</v>
      </c>
      <c r="D10" s="10">
        <f>B10-C10</f>
        <v>250</v>
      </c>
    </row>
    <row r="11" spans="1:4" x14ac:dyDescent="0.35">
      <c r="A11" t="s">
        <v>24</v>
      </c>
      <c r="B11" s="9">
        <v>1400</v>
      </c>
      <c r="C11" s="9">
        <v>0</v>
      </c>
      <c r="D11" s="10">
        <f>B11-C11</f>
        <v>1400</v>
      </c>
    </row>
    <row r="12" spans="1:4" x14ac:dyDescent="0.35">
      <c r="A12" t="s">
        <v>25</v>
      </c>
      <c r="B12" s="9">
        <v>600</v>
      </c>
      <c r="C12" s="9">
        <v>0</v>
      </c>
      <c r="D12" s="10">
        <f>B12-C12</f>
        <v>600</v>
      </c>
    </row>
    <row r="13" spans="1:4" x14ac:dyDescent="0.35">
      <c r="A13" t="s">
        <v>98</v>
      </c>
      <c r="B13" s="9">
        <v>2000</v>
      </c>
      <c r="C13" s="9">
        <v>0</v>
      </c>
      <c r="D13" s="10">
        <f>B13-C13</f>
        <v>2000</v>
      </c>
    </row>
    <row r="15" spans="1:4" x14ac:dyDescent="0.35">
      <c r="A15" s="12" t="s">
        <v>10</v>
      </c>
      <c r="B15" s="14">
        <f>SUM(B4:B13)</f>
        <v>5968</v>
      </c>
      <c r="C15" s="14">
        <f>SUM(C4:C13)</f>
        <v>994</v>
      </c>
      <c r="D15" s="14">
        <f>SUM(D4:D13)</f>
        <v>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Budget</vt:lpstr>
      <vt:lpstr>Goals</vt:lpstr>
      <vt:lpstr>Investments</vt:lpstr>
      <vt:lpstr>History</vt:lpstr>
      <vt:lpstr>South Africa</vt:lpstr>
      <vt:lpstr>MonthList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Jarryd Reay</dc:creator>
  <cp:lastModifiedBy>Bigs R</cp:lastModifiedBy>
  <dcterms:created xsi:type="dcterms:W3CDTF">2022-08-26T11:00:56Z</dcterms:created>
  <dcterms:modified xsi:type="dcterms:W3CDTF">2026-04-22T13:02:23Z</dcterms:modified>
</cp:coreProperties>
</file>